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sus\Desktop\Block D\"/>
    </mc:Choice>
  </mc:AlternateContent>
  <xr:revisionPtr revIDLastSave="0" documentId="8_{CFB04333-27AD-453F-8928-BF4E3226E424}" xr6:coauthVersionLast="47" xr6:coauthVersionMax="47" xr10:uidLastSave="{00000000-0000-0000-0000-000000000000}"/>
  <bookViews>
    <workbookView xWindow="-108" yWindow="-108" windowWidth="23256" windowHeight="12456" xr2:uid="{526F01F3-B9A4-4AB8-BF2F-8E2F4443F7C9}"/>
  </bookViews>
  <sheets>
    <sheet name="1D" sheetId="1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17" l="1"/>
  <c r="J42" i="17" l="1"/>
  <c r="J5" i="17" s="1"/>
  <c r="K5" i="17" s="1"/>
</calcChain>
</file>

<file path=xl/sharedStrings.xml><?xml version="1.0" encoding="utf-8"?>
<sst xmlns="http://schemas.openxmlformats.org/spreadsheetml/2006/main" count="239" uniqueCount="135">
  <si>
    <t> </t>
  </si>
  <si>
    <t>Student Self-Assessment</t>
  </si>
  <si>
    <t>Details</t>
  </si>
  <si>
    <t>Description</t>
  </si>
  <si>
    <t>Comments About Self-Assessment Result</t>
  </si>
  <si>
    <t>Self-Assessed  Grade</t>
  </si>
  <si>
    <t>Student Number</t>
  </si>
  <si>
    <t>fill in</t>
  </si>
  <si>
    <t>Student Name</t>
  </si>
  <si>
    <t>Project</t>
  </si>
  <si>
    <t>Opportunity</t>
  </si>
  <si>
    <t>Project Deadline</t>
  </si>
  <si>
    <t>Grading Rubric</t>
  </si>
  <si>
    <t>PRE-REQUISITES</t>
  </si>
  <si>
    <t>ILO COMPONENTS</t>
  </si>
  <si>
    <t>Score</t>
  </si>
  <si>
    <t>Total</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</si>
  <si>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</si>
  <si>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</si>
  <si>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pre-requisites</t>
  </si>
  <si>
    <t>A: 6 points</t>
  </si>
  <si>
    <t>B: 10 points</t>
  </si>
  <si>
    <t>C: 4 points</t>
  </si>
  <si>
    <t>Dublin descriptor: 1, 2, 3</t>
  </si>
  <si>
    <t>1.4 The student works effectively and responsibly based on agreed-upon priorities using constructive reflection and effective communication to achieve short and long-term project goals.</t>
  </si>
  <si>
    <t>Student submitted a complete learning log, work log and self-assessment rubric. Clear individual contributions to the project are documented. Student takes a fair amount of work at the shoulders, evidenced by peer review. The student obtained at least 10 points in week 9-10 challenges.</t>
  </si>
  <si>
    <t xml:space="preserve">The student actively and proactively participates in all project events (e.g. stand-up, retrospective, demonstrations, presentations, project planning). The student demonstrates a professional capacity to communicate with different audiences, collects feedback from team member and stakeholders, and forms action points based on the outcomes.
</t>
  </si>
  <si>
    <t>The student takes responsibility for a fair amount of the work and clearly contributes to the project outcomes. The student takes responsibility for the outcomes of their work and team/project interactions as demonstrated by the peer review and the execution of the project plan.</t>
  </si>
  <si>
    <t>The student demonstrates the ability to adjust to changes in the project plan as conditions, requirements or priorities change. The student is receptive of peer and stakeholder feedback, and actively and constructively works to help their peers improve the quality of their project contributions. The student proposes solutions and/or improvements to the team dynamics.</t>
  </si>
  <si>
    <t>/</t>
  </si>
  <si>
    <t xml:space="preserve">select points: </t>
  </si>
  <si>
    <t>yes</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</si>
  <si>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</si>
  <si>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</si>
  <si>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A: 10 points</t>
  </si>
  <si>
    <t xml:space="preserve">2.4 The student demonstrates the ability to provide constructive, specific, and actionable feedback through structured peer review, contributing to the improvement and development of their peers’ work.
</t>
  </si>
  <si>
    <t>The student submits a complete learning log, work log, and self-assessment rubric. The student exhibits professional behaviour during DataLab sessions. The student filled in the peer review form for all of their peers. The student obtained at least 10 points in week 9-10 challenges.</t>
  </si>
  <si>
    <t xml:space="preserve">The student provides peer feedback that is extensive, clear, respectful, and professional, addressing key aspects of the peer’s work and offering actionable suggestions for improvement. The student supports their feedback with specific examples from the peer's work. The student ensures that their feedback is aligned with the objectives outlined in the peer review process. 
</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</si>
  <si>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</si>
  <si>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</si>
  <si>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7 points</t>
  </si>
  <si>
    <t>B: 3 points</t>
  </si>
  <si>
    <t xml:space="preserve">3.3 The student demonstrates the basic knowledge of european legal frameworks governing AI by providing evidence of legal decision-making while working with (privacy-sensitive) data.	
</t>
  </si>
  <si>
    <t>The student is able to individually identify the level of risk associated with their AI system and explain it clearly using relevant legal frameworks.</t>
  </si>
  <si>
    <t xml:space="preserve">The student collaboratively identifies and motivates the level of risk associated with the developed AI system as well applicable legal requirements using relevant legal frameworks. </t>
  </si>
  <si>
    <t>ILO 4</t>
  </si>
  <si>
    <t>Problem Analysis. The student can analyze a problem by describing the context, trade-offs and formulation of the final demand (as a result of a process of demand articulation). In doing so, they identify the possible solutions. As a result, they can formulate an approach for a data trajectory considering relevant actors and interests, involving relevant theories and (technical) possibilities. </t>
  </si>
  <si>
    <t>A: 2 points</t>
  </si>
  <si>
    <t>C: 5 points</t>
  </si>
  <si>
    <t xml:space="preserve">4.2 The student demonstrates the ability to analyse a problem and propose a working plan and implementations to provide a solution to the problem statement. </t>
  </si>
  <si>
    <t xml:space="preserve">The student is able to create a feasible project proposal including a project planning. The student demonstrates an understanding of the business context and the proposal aligns with the project requirements. </t>
  </si>
  <si>
    <t xml:space="preserve">The student is able to combine their individual project proposals into a group project proposal including a project planning. The student demonstrates an understanding of the business context and the proposal aligns with the project requirements. </t>
  </si>
  <si>
    <t>ILO 6</t>
  </si>
  <si>
    <t>Data Collection and Processing. The student masters (technological) skills to acquire, pre-process, process and manage the necessary data to create value for individuals, organizations and domains. </t>
  </si>
  <si>
    <t>A: 4 points</t>
  </si>
  <si>
    <t>B: 5 points</t>
  </si>
  <si>
    <t>C: 6 points</t>
  </si>
  <si>
    <t>6.3 The student is able to design an implement data storage solutions, perform ETL operations to gather data, process it and store it in a structured format.</t>
  </si>
  <si>
    <t>The student is able to demonstrate understanding of intermediate level SQL and database fundamentals.</t>
  </si>
  <si>
    <t>The student is able to design an appropriate data storage solution for their project. The storage solution needs to align with the client requirements and should consider; security, privacy, data characteristics and access patterns in its design. The data storage solution is managed through code and can be deployed and/or reproduced.</t>
  </si>
  <si>
    <t>The student is able to create a solution to that can extract data from a variety of data sources if required. Perform transformations such pre processing or post processing the data and load the data into a suitable storage solution for their project. The solution needs to be well documented. The design of the solution should consider, deployability, scalability and reliability.</t>
  </si>
  <si>
    <t>ILO 8</t>
  </si>
  <si>
    <t>Modelling. The student can apply modelling techniques including Machine Learning and AI to create value for individuals, organizations and domains. </t>
  </si>
  <si>
    <t>B: 6 points</t>
  </si>
  <si>
    <t>C: 8 points</t>
  </si>
  <si>
    <t>8.4 The student demonstrates proficiency in designing and implementing machine learning models, integrating them into end-to-end pipelines aligned with business objectives, iteratively improving these pipelines, and rigorously evaluating model performance to ensure reliability and effectiveness.</t>
  </si>
  <si>
    <t>The student demonstrates the ability to design and implement machine learning models for the business objective using industry-standard frameworks.</t>
  </si>
  <si>
    <t>The student demonstrates the ability to critically evaluate machine learning models by applying appropriate performance metrics, conducting error analysis, and validating performance through cross-validation and external validation, ensuring alignment with the business objective.</t>
  </si>
  <si>
    <t>The student demonstrates the ability to iteratively refine machine learning models by employing appropriate techniques to enhance performance while ensuring alignment with the business objective.</t>
  </si>
  <si>
    <t>ILO 9</t>
  </si>
  <si>
    <t>Design, Prototyping and Implementation. The student can develop a prototype using an iterative cycle, explicitly involving stakeholders, and implement applications within an (existing) architecture. </t>
  </si>
  <si>
    <t>D: 4 points</t>
  </si>
  <si>
    <t>9.2 The student demonstrates competency in the design, testing, and deployment of stakeholder-focused solutions using iterative development, creating maintainable, production-ready code following industry standards, and collaborates effectively with tools like version control and virtual environments.</t>
  </si>
  <si>
    <t xml:space="preserve">The student demonstrates competency in the use of virtual environments, package managers, and code version control tools for collaborating on group data science projects. </t>
  </si>
  <si>
    <t>The student is able to create modular code that is at a basic level production ready and maintainable according to industry standards through the use of logging, linting, doc strings, code formatting for readability, refactoring etc.</t>
  </si>
  <si>
    <t xml:space="preserve">The student is able to develop meaningful Unit tests to contribute to the maintainability of a code base with multiple contributors to acceptable test coverage levels for The student project. The student uses industry standard tools to produce professional documentation for the project and code base.
</t>
  </si>
  <si>
    <t>The student is able to produce a proof of concept  application or dashboard to  present the solution in a user friendly manner to non-technical stakeholders.</t>
  </si>
  <si>
    <t>CRISP-DM Cycle</t>
  </si>
  <si>
    <t>CRISP Phase</t>
  </si>
  <si>
    <t>Competency</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</si>
  <si>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</si>
  <si>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</si>
  <si>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</si>
  <si>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</si>
  <si>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</si>
  <si>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</si>
  <si>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</si>
  <si>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</si>
  <si>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</si>
  <si>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</si>
  <si>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</si>
  <si>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</si>
  <si>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</si>
  <si>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</si>
  <si>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</si>
  <si>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</si>
  <si>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</si>
  <si>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</si>
  <si>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</si>
  <si>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</si>
  <si>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</si>
  <si>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</si>
  <si>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</si>
  <si>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</si>
  <si>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</si>
  <si>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</si>
  <si>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</si>
  <si>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</si>
  <si>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Dublin Descriptors</t>
  </si>
  <si>
    <t>#</t>
  </si>
  <si>
    <t>Outcomes</t>
  </si>
  <si>
    <t>First cycle qualifications (Bachelor Level)
Qualifications that signify completion of the first cycle are awarded to student who:</t>
  </si>
  <si>
    <t>Second cycle qualifications (Master Level)
Qualifications that signify completion of the second cycle are awarded to student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</si>
  <si>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</si>
  <si>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</si>
  <si>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</si>
  <si>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</si>
  <si>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</si>
  <si>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</si>
  <si>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</si>
  <si>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</si>
  <si>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</si>
  <si>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</si>
  <si>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</si>
  <si>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</si>
  <si>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</si>
  <si>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</si>
  <si>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</si>
  <si>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 xml:space="preserve"> Clear individual contribution to this ILO is documented. The student exhibits professional behaviour during DataLab sessions. </t>
  </si>
  <si>
    <t xml:space="preserve">Clear individual contribution to this ILO is documented. The student exhibits professional behaviour during DataLab sessions. </t>
  </si>
  <si>
    <t>The student is able to present the project outcomes, highlighting the value for the project objectives and/or client requirements and addressing the business value. The student delivers the presentation in a well-structured, clear manner.</t>
  </si>
  <si>
    <t>Clear individual contribution to this ILO is documented. The student exhibits professional behaviour during DataLab sessions. Python scripts are submitted.</t>
  </si>
  <si>
    <t>Mohammadali Jaberi</t>
  </si>
  <si>
    <t>Stock Market</t>
  </si>
  <si>
    <t>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</si>
</sst>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b/>
      <sz val="11"/>
      <color rgb="FF000000"/>
      <name val="Aptos Narrow"/>
      <family val="2"/>
      <scheme val="minor"/>
    </font>
    <font>
      <sz val="10"/>
      <name val="Calibri"/>
      <family val="2"/>
    </font>
    <font>
      <sz val="18"/>
      <color theme="1"/>
      <name val="Calibri"/>
      <family val="2"/>
    </font>
    <font>
      <sz val="10"/>
      <color theme="0"/>
      <name val="Calibri"/>
      <family val="2"/>
    </font>
    <font>
      <b/>
      <sz val="10"/>
      <color theme="0"/>
      <name val="Calibri"/>
      <family val="2"/>
    </font>
    <font>
      <b/>
      <sz val="10"/>
      <color rgb="FFFFFFFF"/>
      <name val="Calibri"/>
      <family val="2"/>
    </font>
    <font>
      <b/>
      <sz val="14"/>
      <name val="Calibri"/>
      <family val="2"/>
    </font>
    <font>
      <i/>
      <sz val="10"/>
      <color rgb="FF000000"/>
      <name val="Calibri"/>
      <family val="2"/>
    </font>
    <font>
      <i/>
      <sz val="10"/>
      <name val="Calibri"/>
      <family val="2"/>
    </font>
    <font>
      <sz val="10"/>
      <name val="Arial"/>
      <family val="2"/>
    </font>
    <font>
      <b/>
      <sz val="24"/>
      <color theme="1"/>
      <name val="Calibri"/>
      <family val="2"/>
    </font>
    <font>
      <sz val="14"/>
      <color theme="1"/>
      <name val="Calibri"/>
      <family val="2"/>
    </font>
    <font>
      <sz val="10"/>
      <color theme="1"/>
      <name val="Calibri"/>
      <family val="2"/>
    </font>
    <font>
      <b/>
      <sz val="10"/>
      <color theme="1"/>
      <name val="Calibri"/>
      <family val="2"/>
    </font>
    <font>
      <b/>
      <sz val="11"/>
      <color rgb="FF000000"/>
      <name val="Aptos"/>
      <family val="2"/>
    </font>
    <font>
      <sz val="14"/>
      <color rgb="FF000000"/>
      <name val="Calibri"/>
      <family val="2"/>
    </font>
    <font>
      <b/>
      <sz val="11"/>
      <color rgb="FF000000"/>
      <name val="Calibri"/>
      <family val="2"/>
    </font>
    <font>
      <sz val="11"/>
      <color theme="1"/>
      <name val="Calibri"/>
      <family val="2"/>
    </font>
    <font>
      <sz val="10"/>
      <color rgb="FF000000"/>
      <name val="Calibri"/>
      <family val="2"/>
    </font>
    <font>
      <sz val="11"/>
      <name val="Calibri"/>
      <family val="2"/>
    </font>
    <font>
      <sz val="18"/>
      <color rgb="FF000000"/>
      <name val="Calibri"/>
      <family val="2"/>
    </font>
    <font>
      <sz val="9"/>
      <color rgb="FF000000"/>
      <name val="Calibri"/>
      <family val="2"/>
    </font>
    <font>
      <b/>
      <sz val="10"/>
      <name val="Calibri"/>
      <family val="2"/>
    </font>
    <font>
      <sz val="14"/>
      <color theme="1"/>
      <name val="Aptos Narrow"/>
      <family val="2"/>
      <scheme val="minor"/>
    </font>
    <font>
      <b/>
      <sz val="14"/>
      <color theme="1"/>
      <name val="Aptos Narrow"/>
      <family val="2"/>
      <scheme val="minor"/>
    </font>
    <font>
      <b/>
      <sz val="10"/>
      <color rgb="FF000000"/>
      <name val="Calibri"/>
      <family val="2"/>
    </font>
    <font>
      <sz val="10"/>
      <color rgb="FF000000"/>
      <name val="Calibri"/>
      <family val="2"/>
    </font>
    <font>
      <b/>
      <sz val="11"/>
      <color rgb="FF000000"/>
      <name val="Calibri"/>
      <family val="2"/>
    </font>
    <font>
      <b/>
      <sz val="11"/>
      <color rgb="FF000000"/>
      <name val="Aptos"/>
    </font>
    <font>
      <b/>
      <sz val="10"/>
      <color rgb="FF000000"/>
      <name val="Calibri"/>
      <family val="2"/>
    </font>
    <font>
      <sz val="11"/>
      <color rgb="FF000000"/>
      <name val="Calibri"/>
      <family val="2"/>
    </font>
  </fonts>
  <fills count="31">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theme="0"/>
        <bgColor rgb="FF000000"/>
      </patternFill>
    </fill>
    <fill>
      <patternFill patternType="solid">
        <fgColor theme="1"/>
        <bgColor rgb="FF000000"/>
      </patternFill>
    </fill>
    <fill>
      <patternFill patternType="solid">
        <fgColor theme="1"/>
        <bgColor rgb="FFFFFF00"/>
      </patternFill>
    </fill>
    <fill>
      <patternFill patternType="solid">
        <fgColor theme="1"/>
        <bgColor rgb="FFF7DCE8"/>
      </patternFill>
    </fill>
    <fill>
      <patternFill patternType="solid">
        <fgColor rgb="FF000000"/>
        <bgColor rgb="FF000000"/>
      </patternFill>
    </fill>
    <fill>
      <patternFill patternType="solid">
        <fgColor rgb="FFFFFF00"/>
        <bgColor indexed="64"/>
      </patternFill>
    </fill>
    <fill>
      <patternFill patternType="solid">
        <fgColor theme="1"/>
        <bgColor indexed="64"/>
      </patternFill>
    </fill>
    <fill>
      <patternFill patternType="solid">
        <fgColor theme="2" tint="-9.9978637043366805E-2"/>
        <bgColor indexed="64"/>
      </patternFill>
    </fill>
    <fill>
      <patternFill patternType="solid">
        <fgColor rgb="FFFEF2CD"/>
        <bgColor indexed="64"/>
      </patternFill>
    </fill>
    <fill>
      <patternFill patternType="solid">
        <fgColor rgb="FFFFE1CC"/>
        <bgColor indexed="64"/>
      </patternFill>
    </fill>
    <fill>
      <patternFill patternType="solid">
        <fgColor theme="5" tint="0.59999389629810485"/>
        <bgColor indexed="64"/>
      </patternFill>
    </fill>
    <fill>
      <patternFill patternType="solid">
        <fgColor rgb="FFBDBDBD"/>
        <bgColor rgb="FFBDBDBD"/>
      </patternFill>
    </fill>
    <fill>
      <patternFill patternType="solid">
        <fgColor theme="5"/>
        <bgColor theme="5"/>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9D9D9"/>
        <bgColor rgb="FFD9D9D9"/>
      </patternFill>
    </fill>
    <fill>
      <patternFill patternType="solid">
        <fgColor rgb="FFFFFFFF"/>
        <bgColor rgb="FFFFFFFF"/>
      </patternFill>
    </fill>
    <fill>
      <patternFill patternType="solid">
        <fgColor rgb="FFF7C7AC"/>
        <bgColor rgb="FF000000"/>
      </patternFill>
    </fill>
    <fill>
      <patternFill patternType="solid">
        <fgColor rgb="FFFFE1CC"/>
        <bgColor rgb="FFFCE5CD"/>
      </patternFill>
    </fill>
  </fills>
  <borders count="1">
    <border>
      <left/>
      <right/>
      <top/>
      <bottom/>
      <diagonal/>
    </border>
  </borders>
  <cellStyleXfs count="1">
    <xf numFmtId="0" fontId="0" fillId="0" borderId="0"/>
  </cellStyleXfs>
  <cellXfs count="122">
    <xf numFmtId="0" fontId="0" fillId="0" borderId="0" xfId="0"/>
    <xf numFmtId="0" fontId="0" fillId="2" borderId="0" xfId="0" applyFill="1"/>
    <xf numFmtId="0" fontId="2" fillId="3" borderId="0" xfId="0" applyFont="1" applyFill="1"/>
    <xf numFmtId="0" fontId="2" fillId="2" borderId="0" xfId="0" applyFont="1" applyFill="1"/>
    <xf numFmtId="0" fontId="2" fillId="4" borderId="0" xfId="0" applyFont="1" applyFill="1"/>
    <xf numFmtId="0" fontId="3" fillId="4" borderId="0" xfId="0" applyFont="1" applyFill="1"/>
    <xf numFmtId="0" fontId="4" fillId="3" borderId="0" xfId="0" applyFont="1" applyFill="1"/>
    <xf numFmtId="0" fontId="4" fillId="4" borderId="0" xfId="0" applyFont="1" applyFill="1"/>
    <xf numFmtId="0" fontId="5" fillId="6" borderId="0" xfId="0" applyFont="1" applyFill="1" applyAlignment="1">
      <alignment horizontal="right"/>
    </xf>
    <xf numFmtId="49" fontId="5" fillId="7" borderId="0" xfId="0" applyNumberFormat="1" applyFont="1" applyFill="1" applyAlignment="1">
      <alignment horizontal="left"/>
    </xf>
    <xf numFmtId="0" fontId="5" fillId="8" borderId="0" xfId="0" applyFont="1" applyFill="1"/>
    <xf numFmtId="0" fontId="6" fillId="9" borderId="0" xfId="0" applyFont="1" applyFill="1" applyAlignment="1">
      <alignment vertical="top"/>
    </xf>
    <xf numFmtId="0" fontId="6" fillId="9" borderId="0" xfId="0" applyFont="1" applyFill="1" applyAlignment="1">
      <alignment horizontal="center" vertical="top"/>
    </xf>
    <xf numFmtId="0" fontId="4" fillId="2" borderId="0" xfId="0" applyFont="1" applyFill="1"/>
    <xf numFmtId="0" fontId="7" fillId="4" borderId="0" xfId="0" applyFont="1" applyFill="1" applyAlignment="1">
      <alignment horizontal="center" vertical="center" textRotation="90"/>
    </xf>
    <xf numFmtId="0" fontId="6" fillId="9" borderId="0" xfId="0" applyFont="1" applyFill="1"/>
    <xf numFmtId="0" fontId="8" fillId="10" borderId="0" xfId="0" applyFont="1" applyFill="1"/>
    <xf numFmtId="0" fontId="9" fillId="5" borderId="0" xfId="0" applyFont="1" applyFill="1" applyAlignment="1">
      <alignment horizontal="left" vertical="top" wrapText="1"/>
    </xf>
    <xf numFmtId="0" fontId="10" fillId="2" borderId="0" xfId="0" applyFont="1" applyFill="1" applyAlignment="1">
      <alignment horizontal="left" vertical="top"/>
    </xf>
    <xf numFmtId="49" fontId="6" fillId="9" borderId="0" xfId="0" applyNumberFormat="1" applyFont="1" applyFill="1" applyAlignment="1">
      <alignment horizontal="center"/>
    </xf>
    <xf numFmtId="49" fontId="6" fillId="11" borderId="0" xfId="0" applyNumberFormat="1" applyFont="1" applyFill="1" applyAlignment="1">
      <alignment horizontal="center"/>
    </xf>
    <xf numFmtId="49" fontId="6" fillId="4" borderId="0" xfId="0" applyNumberFormat="1" applyFont="1" applyFill="1" applyAlignment="1">
      <alignment horizontal="center"/>
    </xf>
    <xf numFmtId="0" fontId="13" fillId="4" borderId="0" xfId="0" applyFont="1" applyFill="1"/>
    <xf numFmtId="0" fontId="15" fillId="12" borderId="0" xfId="0" applyFont="1" applyFill="1" applyAlignment="1">
      <alignment horizontal="left" vertical="center" wrapText="1"/>
    </xf>
    <xf numFmtId="0" fontId="16" fillId="12" borderId="0" xfId="0" applyFont="1" applyFill="1" applyAlignment="1">
      <alignment horizontal="center" vertical="center" wrapText="1"/>
    </xf>
    <xf numFmtId="0" fontId="16" fillId="4" borderId="0" xfId="0" applyFont="1" applyFill="1" applyAlignment="1">
      <alignment horizontal="center" vertical="center" wrapText="1"/>
    </xf>
    <xf numFmtId="0" fontId="17" fillId="12" borderId="0" xfId="0" applyFont="1" applyFill="1" applyAlignment="1">
      <alignment horizontal="left" vertical="center" wrapText="1"/>
    </xf>
    <xf numFmtId="0" fontId="17" fillId="12" borderId="0" xfId="0" applyFont="1" applyFill="1" applyAlignment="1">
      <alignment horizontal="center" vertical="center" wrapText="1"/>
    </xf>
    <xf numFmtId="0" fontId="17" fillId="3" borderId="0" xfId="0" applyFont="1" applyFill="1" applyAlignment="1">
      <alignment horizontal="center" vertical="top" wrapText="1"/>
    </xf>
    <xf numFmtId="0" fontId="15" fillId="12" borderId="0" xfId="0" applyFont="1" applyFill="1" applyAlignment="1">
      <alignment vertical="center" wrapText="1"/>
    </xf>
    <xf numFmtId="0" fontId="20" fillId="4" borderId="0" xfId="0" applyFont="1" applyFill="1"/>
    <xf numFmtId="0" fontId="18" fillId="4" borderId="0" xfId="0" applyFont="1" applyFill="1" applyAlignment="1">
      <alignment horizontal="right" vertical="center"/>
    </xf>
    <xf numFmtId="0" fontId="16" fillId="17" borderId="0" xfId="0" applyFont="1" applyFill="1" applyAlignment="1">
      <alignment horizontal="center" vertical="center" wrapText="1"/>
    </xf>
    <xf numFmtId="0" fontId="16" fillId="2" borderId="0" xfId="0" applyFont="1" applyFill="1" applyAlignment="1">
      <alignment horizontal="center" vertical="center" wrapText="1"/>
    </xf>
    <xf numFmtId="0" fontId="6" fillId="4" borderId="0" xfId="0" applyFont="1" applyFill="1" applyAlignment="1">
      <alignment vertical="top"/>
    </xf>
    <xf numFmtId="0" fontId="6" fillId="4" borderId="0" xfId="0" applyFont="1" applyFill="1" applyAlignment="1">
      <alignment horizontal="center" vertical="top"/>
    </xf>
    <xf numFmtId="0" fontId="6" fillId="9" borderId="0" xfId="0" applyFont="1" applyFill="1" applyAlignment="1">
      <alignment horizontal="right" vertical="top"/>
    </xf>
    <xf numFmtId="0" fontId="14" fillId="18" borderId="0" xfId="0" applyFont="1" applyFill="1" applyAlignment="1">
      <alignment vertical="center" wrapText="1"/>
    </xf>
    <xf numFmtId="0" fontId="22" fillId="19" borderId="0" xfId="0" applyFont="1" applyFill="1" applyAlignment="1">
      <alignment horizontal="left" vertical="center" wrapText="1"/>
    </xf>
    <xf numFmtId="0" fontId="2" fillId="18" borderId="0" xfId="0" applyFont="1" applyFill="1" applyAlignment="1">
      <alignment horizontal="center" vertical="center"/>
    </xf>
    <xf numFmtId="0" fontId="14" fillId="20" borderId="0" xfId="0" applyFont="1" applyFill="1" applyAlignment="1">
      <alignment vertical="center" wrapText="1"/>
    </xf>
    <xf numFmtId="0" fontId="2" fillId="20" borderId="0" xfId="0" applyFont="1" applyFill="1" applyAlignment="1">
      <alignment horizontal="center" vertical="center"/>
    </xf>
    <xf numFmtId="0" fontId="14" fillId="21" borderId="0" xfId="0" applyFont="1" applyFill="1" applyAlignment="1">
      <alignment vertical="center" wrapText="1"/>
    </xf>
    <xf numFmtId="0" fontId="22" fillId="22" borderId="0" xfId="0" applyFont="1" applyFill="1" applyAlignment="1">
      <alignment horizontal="left" vertical="center" wrapText="1"/>
    </xf>
    <xf numFmtId="0" fontId="2" fillId="21" borderId="0" xfId="0" applyFont="1" applyFill="1" applyAlignment="1">
      <alignment horizontal="center" vertical="center"/>
    </xf>
    <xf numFmtId="0" fontId="14" fillId="23" borderId="0" xfId="0" applyFont="1" applyFill="1" applyAlignment="1">
      <alignment vertical="center" wrapText="1"/>
    </xf>
    <xf numFmtId="0" fontId="22" fillId="24" borderId="0" xfId="0" applyFont="1" applyFill="1" applyAlignment="1">
      <alignment horizontal="left" vertical="center" wrapText="1"/>
    </xf>
    <xf numFmtId="0" fontId="2" fillId="23" borderId="0" xfId="0" applyFont="1" applyFill="1" applyAlignment="1">
      <alignment horizontal="center" vertical="center"/>
    </xf>
    <xf numFmtId="0" fontId="2" fillId="3" borderId="0" xfId="0" applyFont="1" applyFill="1" applyAlignment="1">
      <alignment horizontal="left" vertical="top"/>
    </xf>
    <xf numFmtId="0" fontId="2" fillId="4" borderId="0" xfId="0" applyFont="1" applyFill="1" applyAlignment="1">
      <alignment horizontal="left" vertical="top"/>
    </xf>
    <xf numFmtId="0" fontId="14" fillId="25" borderId="0" xfId="0" applyFont="1" applyFill="1" applyAlignment="1">
      <alignment vertical="center" wrapText="1"/>
    </xf>
    <xf numFmtId="0" fontId="2" fillId="25" borderId="0" xfId="0" applyFont="1" applyFill="1" applyAlignment="1">
      <alignment horizontal="center" vertical="center"/>
    </xf>
    <xf numFmtId="0" fontId="16" fillId="4" borderId="0" xfId="0" applyFont="1" applyFill="1" applyAlignment="1">
      <alignment horizontal="left" vertical="top" wrapText="1"/>
    </xf>
    <xf numFmtId="0" fontId="14" fillId="26" borderId="0" xfId="0" applyFont="1" applyFill="1" applyAlignment="1">
      <alignment vertical="center" wrapText="1"/>
    </xf>
    <xf numFmtId="0" fontId="2" fillId="26" borderId="0" xfId="0" applyFont="1" applyFill="1" applyAlignment="1">
      <alignment horizontal="center" vertical="center"/>
    </xf>
    <xf numFmtId="0" fontId="2" fillId="3" borderId="0" xfId="0" applyFont="1" applyFill="1" applyAlignment="1">
      <alignment vertical="top"/>
    </xf>
    <xf numFmtId="0" fontId="13" fillId="4" borderId="0" xfId="0" applyFont="1" applyFill="1" applyAlignment="1">
      <alignment vertical="top"/>
    </xf>
    <xf numFmtId="0" fontId="16" fillId="4" borderId="0" xfId="0" applyFont="1" applyFill="1" applyAlignment="1">
      <alignment horizontal="center" vertical="top" wrapText="1"/>
    </xf>
    <xf numFmtId="0" fontId="6" fillId="4" borderId="0" xfId="0" applyFont="1" applyFill="1"/>
    <xf numFmtId="0" fontId="19" fillId="4" borderId="0" xfId="0" applyFont="1" applyFill="1"/>
    <xf numFmtId="0" fontId="6" fillId="9" borderId="0" xfId="0" applyFont="1" applyFill="1" applyAlignment="1">
      <alignment wrapText="1"/>
    </xf>
    <xf numFmtId="0" fontId="23" fillId="0" borderId="0" xfId="0" applyFont="1" applyAlignment="1">
      <alignment horizontal="left"/>
    </xf>
    <xf numFmtId="0" fontId="2" fillId="0" borderId="0" xfId="0" applyFont="1" applyAlignment="1">
      <alignment wrapText="1"/>
    </xf>
    <xf numFmtId="0" fontId="23" fillId="27" borderId="0" xfId="0" applyFont="1" applyFill="1" applyAlignment="1">
      <alignment horizontal="left"/>
    </xf>
    <xf numFmtId="0" fontId="2" fillId="27" borderId="0" xfId="0" applyFont="1" applyFill="1" applyAlignment="1">
      <alignment wrapText="1"/>
    </xf>
    <xf numFmtId="0" fontId="26" fillId="12" borderId="0" xfId="0" applyFont="1" applyFill="1" applyAlignment="1">
      <alignment horizontal="center" vertical="center" wrapText="1"/>
    </xf>
    <xf numFmtId="0" fontId="17" fillId="3" borderId="0" xfId="0" applyFont="1" applyFill="1" applyAlignment="1">
      <alignment horizontal="center" vertical="center" wrapText="1"/>
    </xf>
    <xf numFmtId="0" fontId="17" fillId="2" borderId="0" xfId="0" applyFont="1" applyFill="1" applyAlignment="1">
      <alignment horizontal="left" vertical="top" wrapText="1"/>
    </xf>
    <xf numFmtId="0" fontId="24" fillId="2" borderId="0" xfId="0" applyFont="1" applyFill="1"/>
    <xf numFmtId="0" fontId="25" fillId="2" borderId="0" xfId="0" applyFont="1" applyFill="1"/>
    <xf numFmtId="49" fontId="24" fillId="2" borderId="0" xfId="0" applyNumberFormat="1" applyFont="1" applyFill="1"/>
    <xf numFmtId="49" fontId="25" fillId="2" borderId="0" xfId="0" applyNumberFormat="1" applyFont="1" applyFill="1"/>
    <xf numFmtId="0" fontId="28" fillId="12" borderId="0" xfId="0" applyFont="1" applyFill="1" applyAlignment="1">
      <alignment horizontal="center" vertical="center" wrapText="1"/>
    </xf>
    <xf numFmtId="0" fontId="28" fillId="3" borderId="0" xfId="0" applyFont="1" applyFill="1" applyAlignment="1">
      <alignment horizontal="center" vertical="top" wrapText="1"/>
    </xf>
    <xf numFmtId="0" fontId="28" fillId="2" borderId="0" xfId="0" applyFont="1" applyFill="1" applyAlignment="1">
      <alignment horizontal="left" vertical="top" wrapText="1"/>
    </xf>
    <xf numFmtId="49" fontId="26" fillId="9" borderId="0" xfId="0" applyNumberFormat="1" applyFont="1" applyFill="1" applyAlignment="1">
      <alignment vertical="top"/>
    </xf>
    <xf numFmtId="49" fontId="26" fillId="9" borderId="0" xfId="0" applyNumberFormat="1" applyFont="1" applyFill="1" applyAlignment="1">
      <alignment horizontal="center"/>
    </xf>
    <xf numFmtId="0" fontId="31" fillId="2" borderId="0" xfId="0" applyFont="1" applyFill="1" applyAlignment="1">
      <alignment horizontal="center" vertical="center" textRotation="90" wrapText="1"/>
    </xf>
    <xf numFmtId="0" fontId="17" fillId="2" borderId="0" xfId="0" applyFont="1" applyFill="1" applyAlignment="1">
      <alignment horizontal="right" vertical="top" wrapText="1"/>
    </xf>
    <xf numFmtId="0" fontId="30" fillId="28" borderId="0" xfId="0" applyFont="1" applyFill="1" applyAlignment="1">
      <alignment horizontal="left" vertical="top" wrapText="1"/>
    </xf>
    <xf numFmtId="0" fontId="28" fillId="3" borderId="0" xfId="0" applyFont="1" applyFill="1" applyAlignment="1">
      <alignment horizontal="center" vertical="center" wrapText="1"/>
    </xf>
    <xf numFmtId="0" fontId="27" fillId="14" borderId="0" xfId="0" applyFont="1" applyFill="1" applyAlignment="1">
      <alignment horizontal="left" vertical="top" wrapText="1"/>
    </xf>
    <xf numFmtId="0" fontId="27" fillId="15" borderId="0" xfId="0" applyFont="1" applyFill="1" applyAlignment="1">
      <alignment horizontal="left" vertical="top" wrapText="1"/>
    </xf>
    <xf numFmtId="0" fontId="19" fillId="14" borderId="0" xfId="0" applyFont="1" applyFill="1" applyAlignment="1">
      <alignment horizontal="left" vertical="top" wrapText="1"/>
    </xf>
    <xf numFmtId="0" fontId="27" fillId="29" borderId="0" xfId="0" applyFont="1" applyFill="1" applyAlignment="1">
      <alignment horizontal="left" vertical="top" wrapText="1"/>
    </xf>
    <xf numFmtId="0" fontId="19" fillId="15" borderId="0" xfId="0" applyFont="1" applyFill="1" applyAlignment="1">
      <alignment horizontal="left" vertical="top" wrapText="1"/>
    </xf>
    <xf numFmtId="0" fontId="27" fillId="13" borderId="0" xfId="0" applyFont="1" applyFill="1" applyAlignment="1">
      <alignment horizontal="left" vertical="top" wrapText="1" readingOrder="1"/>
    </xf>
    <xf numFmtId="0" fontId="19" fillId="13" borderId="0" xfId="0" applyFont="1" applyFill="1" applyAlignment="1">
      <alignment horizontal="left" vertical="top" wrapText="1" readingOrder="1"/>
    </xf>
    <xf numFmtId="0" fontId="1" fillId="0" borderId="0" xfId="0" applyFont="1" applyAlignment="1">
      <alignment horizontal="left" vertical="top" wrapText="1"/>
    </xf>
    <xf numFmtId="0" fontId="27" fillId="30" borderId="0" xfId="0" applyFont="1" applyFill="1" applyAlignment="1">
      <alignment horizontal="left" vertical="top" wrapText="1"/>
    </xf>
    <xf numFmtId="0" fontId="2" fillId="3" borderId="0" xfId="0" applyFont="1" applyFill="1" applyAlignment="1">
      <alignment horizontal="center"/>
    </xf>
    <xf numFmtId="0" fontId="13" fillId="4" borderId="0" xfId="0" applyFont="1" applyFill="1" applyAlignment="1">
      <alignment horizontal="center"/>
    </xf>
    <xf numFmtId="0" fontId="0" fillId="2" borderId="0" xfId="0" applyFill="1" applyAlignment="1">
      <alignment horizontal="center"/>
    </xf>
    <xf numFmtId="0" fontId="17" fillId="12" borderId="0" xfId="0" applyFont="1" applyFill="1" applyAlignment="1">
      <alignment horizontal="center" vertical="center" wrapText="1"/>
    </xf>
    <xf numFmtId="0" fontId="17" fillId="3" borderId="0" xfId="0" applyFont="1" applyFill="1" applyAlignment="1">
      <alignment horizontal="center" vertical="top" wrapText="1"/>
    </xf>
    <xf numFmtId="0" fontId="19" fillId="15" borderId="0" xfId="0" applyFont="1" applyFill="1" applyAlignment="1">
      <alignment horizontal="left" vertical="top" wrapText="1"/>
    </xf>
    <xf numFmtId="0" fontId="27" fillId="14" borderId="0" xfId="0" applyFont="1" applyFill="1" applyAlignment="1">
      <alignment horizontal="left" vertical="top" wrapText="1"/>
    </xf>
    <xf numFmtId="0" fontId="28" fillId="12" borderId="0" xfId="0" applyFont="1" applyFill="1" applyAlignment="1">
      <alignment horizontal="center" vertical="center" wrapText="1"/>
    </xf>
    <xf numFmtId="0" fontId="11" fillId="0" borderId="0" xfId="0" applyFont="1" applyAlignment="1">
      <alignment horizontal="center" vertical="center"/>
    </xf>
    <xf numFmtId="0" fontId="0" fillId="0" borderId="0" xfId="0"/>
    <xf numFmtId="0" fontId="12" fillId="0" borderId="0" xfId="0" applyFont="1" applyAlignment="1">
      <alignment horizontal="center" vertical="center"/>
    </xf>
    <xf numFmtId="49" fontId="26" fillId="9" borderId="0" xfId="0" applyNumberFormat="1" applyFont="1" applyFill="1" applyAlignment="1">
      <alignment horizontal="center"/>
    </xf>
    <xf numFmtId="0" fontId="16" fillId="16" borderId="0" xfId="0" applyFont="1" applyFill="1" applyAlignment="1">
      <alignment horizontal="center" vertical="center" wrapText="1"/>
    </xf>
    <xf numFmtId="0" fontId="17" fillId="12" borderId="0" xfId="0" applyFont="1" applyFill="1" applyAlignment="1">
      <alignment horizontal="left" vertical="center" wrapText="1"/>
    </xf>
    <xf numFmtId="0" fontId="15" fillId="12" borderId="0" xfId="0" applyFont="1" applyFill="1" applyAlignment="1">
      <alignment horizontal="left" vertical="center" wrapText="1"/>
    </xf>
    <xf numFmtId="0" fontId="29" fillId="12" borderId="0" xfId="0" applyFont="1" applyFill="1" applyAlignment="1">
      <alignment horizontal="left" vertical="center" wrapText="1"/>
    </xf>
    <xf numFmtId="0" fontId="17" fillId="3" borderId="0" xfId="0" applyFont="1" applyFill="1" applyAlignment="1">
      <alignment horizontal="center" vertical="center" wrapText="1"/>
    </xf>
    <xf numFmtId="0" fontId="28" fillId="3" borderId="0" xfId="0" applyFont="1" applyFill="1" applyAlignment="1">
      <alignment horizontal="center" vertical="center" wrapText="1"/>
    </xf>
    <xf numFmtId="0" fontId="19" fillId="14" borderId="0" xfId="0" applyFont="1" applyFill="1" applyAlignment="1">
      <alignment horizontal="left" vertical="top" wrapText="1"/>
    </xf>
    <xf numFmtId="0" fontId="21" fillId="4" borderId="0" xfId="0" applyFont="1" applyFill="1"/>
    <xf numFmtId="0" fontId="6" fillId="9" borderId="0" xfId="0" applyFont="1" applyFill="1" applyAlignment="1">
      <alignment vertical="top"/>
    </xf>
    <xf numFmtId="0" fontId="27" fillId="30" borderId="0" xfId="0" applyFont="1" applyFill="1" applyAlignment="1">
      <alignment horizontal="left" vertical="top" wrapText="1"/>
    </xf>
    <xf numFmtId="0" fontId="28" fillId="3" borderId="0" xfId="0" applyFont="1" applyFill="1" applyAlignment="1">
      <alignment horizontal="center" vertical="top" wrapText="1"/>
    </xf>
    <xf numFmtId="0" fontId="19" fillId="0" borderId="0" xfId="0" applyFont="1" applyAlignment="1">
      <alignment wrapText="1"/>
    </xf>
    <xf numFmtId="0" fontId="19" fillId="0" borderId="0" xfId="0" applyFont="1" applyAlignment="1">
      <alignment horizontal="left" wrapText="1"/>
    </xf>
    <xf numFmtId="0" fontId="6" fillId="9" borderId="0" xfId="0" applyFont="1" applyFill="1" applyAlignment="1">
      <alignment wrapText="1"/>
    </xf>
    <xf numFmtId="0" fontId="19" fillId="27" borderId="0" xfId="0" applyFont="1" applyFill="1" applyAlignment="1">
      <alignment wrapText="1"/>
    </xf>
    <xf numFmtId="0" fontId="19" fillId="27" borderId="0" xfId="0" applyFont="1" applyFill="1" applyAlignment="1">
      <alignment horizontal="left" wrapText="1"/>
    </xf>
    <xf numFmtId="0" fontId="22" fillId="19" borderId="0" xfId="0" applyFont="1" applyFill="1" applyAlignment="1">
      <alignment horizontal="left" vertical="center" wrapText="1"/>
    </xf>
    <xf numFmtId="0" fontId="22" fillId="22" borderId="0" xfId="0" applyFont="1" applyFill="1" applyAlignment="1">
      <alignment horizontal="left" vertical="center" wrapText="1"/>
    </xf>
    <xf numFmtId="0" fontId="22" fillId="24" borderId="0" xfId="0" applyFont="1" applyFill="1" applyAlignment="1">
      <alignment horizontal="left" vertical="center" wrapText="1"/>
    </xf>
    <xf numFmtId="14" fontId="8" fillId="10" borderId="0" xfId="0" applyNumberFormat="1" applyFont="1" applyFill="1"/>
  </cellXfs>
  <cellStyles count="1">
    <cellStyle name="Normal" xfId="0" builtinId="0"/>
  </cellStyles>
  <dxfs count="4">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colors>
    <mruColors>
      <color rgb="FFECC8AF"/>
      <color rgb="FFFBF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0343-BD5F-459C-A298-83FC1AC4EB8B}">
  <dimension ref="A1:AB79"/>
  <sheetViews>
    <sheetView tabSelected="1" topLeftCell="C32" zoomScale="63" zoomScaleNormal="100" workbookViewId="0">
      <selection activeCell="O36" sqref="O36"/>
    </sheetView>
  </sheetViews>
  <sheetFormatPr defaultColWidth="9.109375" defaultRowHeight="15" customHeight="1" x14ac:dyDescent="0.3"/>
  <cols>
    <col min="1" max="2" width="9.109375" style="1"/>
    <col min="3" max="3" width="17.44140625" style="1" customWidth="1"/>
    <col min="4" max="4" width="40.6640625" style="1" customWidth="1"/>
    <col min="5" max="9" width="30.6640625" style="1" customWidth="1"/>
    <col min="10" max="10" width="20.6640625" style="1" customWidth="1"/>
    <col min="11" max="11" width="4.33203125" style="1" customWidth="1"/>
    <col min="12" max="12" width="16.109375" style="1" customWidth="1"/>
    <col min="13" max="13" width="15.6640625" style="1" customWidth="1"/>
    <col min="14" max="15" width="9.109375" style="1"/>
    <col min="16" max="17" width="10.44140625" style="1" bestFit="1" customWidth="1"/>
    <col min="18" max="16384" width="9.109375" style="1"/>
  </cols>
  <sheetData>
    <row r="1" spans="1:28" ht="14.4" x14ac:dyDescent="0.3">
      <c r="A1" s="2"/>
      <c r="B1" s="2"/>
      <c r="C1" s="2"/>
      <c r="D1" s="2"/>
      <c r="E1" s="2"/>
      <c r="F1" s="2"/>
      <c r="G1" s="2"/>
      <c r="H1" s="2"/>
      <c r="I1" s="2"/>
      <c r="J1" s="2"/>
      <c r="K1" s="2"/>
      <c r="L1" s="2"/>
      <c r="M1" s="2"/>
      <c r="N1" s="2"/>
      <c r="O1" s="3"/>
    </row>
    <row r="2" spans="1:28" ht="14.4" x14ac:dyDescent="0.3">
      <c r="A2" s="2"/>
      <c r="B2" s="2"/>
      <c r="C2" s="2"/>
      <c r="D2" s="2"/>
      <c r="E2" s="2"/>
      <c r="F2" s="2"/>
      <c r="G2" s="2"/>
      <c r="H2" s="2"/>
      <c r="I2" s="2"/>
      <c r="J2" s="2"/>
      <c r="K2" s="2"/>
      <c r="L2" s="2"/>
      <c r="M2" s="2"/>
      <c r="N2" s="2"/>
      <c r="O2" s="3"/>
    </row>
    <row r="3" spans="1:28" ht="23.4" x14ac:dyDescent="0.45">
      <c r="A3" s="2"/>
      <c r="B3" s="4"/>
      <c r="C3" s="4"/>
      <c r="D3" s="5" t="s">
        <v>1</v>
      </c>
      <c r="E3" s="5"/>
      <c r="F3" s="4"/>
      <c r="G3" s="4"/>
      <c r="H3" s="4"/>
      <c r="I3" s="4"/>
      <c r="J3" s="4"/>
      <c r="K3" s="4"/>
      <c r="L3" s="4"/>
      <c r="M3" s="4"/>
      <c r="N3" s="2"/>
      <c r="O3" s="3"/>
    </row>
    <row r="4" spans="1:28" ht="18" x14ac:dyDescent="0.35">
      <c r="A4" s="6"/>
      <c r="B4" s="7"/>
      <c r="C4" s="7"/>
      <c r="D4" s="8"/>
      <c r="E4" s="9" t="s">
        <v>2</v>
      </c>
      <c r="F4" s="10" t="s">
        <v>3</v>
      </c>
      <c r="G4" s="10"/>
      <c r="H4" s="10"/>
      <c r="I4" s="11" t="s">
        <v>4</v>
      </c>
      <c r="J4" s="12" t="s">
        <v>5</v>
      </c>
      <c r="K4" s="12"/>
      <c r="L4" s="12"/>
      <c r="M4" s="4"/>
      <c r="N4" s="6"/>
      <c r="O4" s="13"/>
      <c r="P4" s="68"/>
      <c r="Q4" s="68"/>
      <c r="R4" s="68"/>
      <c r="S4" s="68"/>
      <c r="T4" s="68"/>
      <c r="U4" s="68"/>
      <c r="V4" s="68"/>
      <c r="W4" s="68"/>
      <c r="X4" s="68"/>
      <c r="Y4" s="68"/>
      <c r="Z4" s="68"/>
      <c r="AA4" s="68"/>
      <c r="AB4" s="68"/>
    </row>
    <row r="5" spans="1:28" ht="18.75" customHeight="1" x14ac:dyDescent="0.35">
      <c r="A5" s="2"/>
      <c r="B5" s="14"/>
      <c r="C5" s="14"/>
      <c r="D5" s="15" t="s">
        <v>6</v>
      </c>
      <c r="E5" s="16">
        <v>244437</v>
      </c>
      <c r="F5" s="17"/>
      <c r="G5" s="18"/>
      <c r="H5" s="18"/>
      <c r="I5" s="16"/>
      <c r="J5" s="98">
        <f>J42/10</f>
        <v>9.6999999999999993</v>
      </c>
      <c r="K5" s="100" t="str">
        <f>IF(J5&gt;=5.5,"PASS",IF(J5&gt;0,"FAIL","M/O"))</f>
        <v>PASS</v>
      </c>
      <c r="L5" s="100"/>
      <c r="M5" s="4"/>
      <c r="N5" s="2"/>
      <c r="O5" s="3"/>
      <c r="P5" s="69"/>
      <c r="Q5" s="68"/>
      <c r="R5" s="68"/>
      <c r="S5" s="68"/>
      <c r="T5" s="68"/>
      <c r="U5" s="68"/>
      <c r="V5" s="68"/>
      <c r="W5" s="68"/>
      <c r="X5" s="68"/>
      <c r="Y5" s="68"/>
      <c r="Z5" s="68"/>
      <c r="AA5" s="68"/>
      <c r="AB5" s="68"/>
    </row>
    <row r="6" spans="1:28" ht="18.75" customHeight="1" x14ac:dyDescent="0.35">
      <c r="A6" s="2"/>
      <c r="B6" s="14"/>
      <c r="C6" s="14"/>
      <c r="D6" s="15" t="s">
        <v>8</v>
      </c>
      <c r="E6" s="16" t="s">
        <v>132</v>
      </c>
      <c r="F6" s="18"/>
      <c r="G6" s="18"/>
      <c r="H6" s="18"/>
      <c r="I6" s="16"/>
      <c r="J6" s="99"/>
      <c r="K6" s="100"/>
      <c r="L6" s="100"/>
      <c r="M6" s="4"/>
      <c r="N6" s="2"/>
      <c r="O6" s="3"/>
      <c r="P6" s="70"/>
      <c r="Q6" s="70"/>
      <c r="R6" s="68"/>
      <c r="S6" s="68"/>
      <c r="T6" s="68"/>
      <c r="U6" s="68"/>
      <c r="V6" s="68"/>
      <c r="W6" s="68"/>
      <c r="X6" s="68"/>
      <c r="Y6" s="68"/>
      <c r="Z6" s="68"/>
      <c r="AA6" s="68"/>
      <c r="AB6" s="68"/>
    </row>
    <row r="7" spans="1:28" ht="18.75" customHeight="1" x14ac:dyDescent="0.35">
      <c r="A7" s="2"/>
      <c r="B7" s="14"/>
      <c r="C7" s="14"/>
      <c r="D7" s="15" t="s">
        <v>9</v>
      </c>
      <c r="E7" s="16" t="s">
        <v>133</v>
      </c>
      <c r="F7" s="18"/>
      <c r="G7" s="18"/>
      <c r="H7" s="18"/>
      <c r="I7" s="16" t="s">
        <v>7</v>
      </c>
      <c r="J7" s="99"/>
      <c r="K7" s="100"/>
      <c r="L7" s="100"/>
      <c r="M7" s="4"/>
      <c r="N7" s="2"/>
      <c r="O7" s="3"/>
      <c r="P7" s="70"/>
      <c r="Q7" s="70"/>
      <c r="R7" s="68"/>
      <c r="S7" s="68"/>
      <c r="T7" s="68"/>
      <c r="U7" s="68"/>
      <c r="V7" s="68"/>
      <c r="W7" s="68"/>
      <c r="X7" s="68"/>
      <c r="Y7" s="68"/>
      <c r="Z7" s="68"/>
      <c r="AA7" s="68"/>
      <c r="AB7" s="68"/>
    </row>
    <row r="8" spans="1:28" ht="18.75" customHeight="1" x14ac:dyDescent="0.35">
      <c r="A8" s="2"/>
      <c r="B8" s="14"/>
      <c r="C8" s="14"/>
      <c r="D8" s="15" t="s">
        <v>10</v>
      </c>
      <c r="E8" s="16" t="s">
        <v>134</v>
      </c>
      <c r="F8" s="18"/>
      <c r="G8" s="18"/>
      <c r="H8" s="18"/>
      <c r="I8" s="16"/>
      <c r="J8" s="99"/>
      <c r="K8" s="100"/>
      <c r="L8" s="100"/>
      <c r="M8" s="4"/>
      <c r="N8" s="2"/>
      <c r="O8" s="3"/>
      <c r="P8" s="70"/>
      <c r="Q8" s="70"/>
      <c r="R8" s="68"/>
      <c r="S8" s="68"/>
      <c r="T8" s="68"/>
      <c r="U8" s="68"/>
      <c r="V8" s="68"/>
      <c r="W8" s="68"/>
      <c r="X8" s="68"/>
      <c r="Y8" s="68"/>
      <c r="Z8" s="68"/>
      <c r="AA8" s="68"/>
      <c r="AB8" s="68"/>
    </row>
    <row r="9" spans="1:28" ht="18.75" customHeight="1" x14ac:dyDescent="0.35">
      <c r="A9" s="2"/>
      <c r="B9" s="14"/>
      <c r="C9" s="14"/>
      <c r="D9" s="15" t="s">
        <v>11</v>
      </c>
      <c r="E9" s="121">
        <v>45828</v>
      </c>
      <c r="F9" s="18"/>
      <c r="G9" s="18"/>
      <c r="H9" s="18"/>
      <c r="I9" s="16"/>
      <c r="J9" s="99"/>
      <c r="K9" s="100"/>
      <c r="L9" s="100"/>
      <c r="M9" s="4"/>
      <c r="N9" s="2"/>
      <c r="O9" s="3"/>
      <c r="P9" s="70"/>
      <c r="Q9" s="70"/>
      <c r="R9" s="68"/>
      <c r="S9" s="68"/>
      <c r="T9" s="68"/>
      <c r="U9" s="68"/>
      <c r="V9" s="68"/>
      <c r="W9" s="68"/>
      <c r="X9" s="68"/>
      <c r="Y9" s="68"/>
      <c r="Z9" s="68"/>
      <c r="AA9" s="68"/>
      <c r="AB9" s="68"/>
    </row>
    <row r="10" spans="1:28" ht="18" x14ac:dyDescent="0.35">
      <c r="A10" s="2"/>
      <c r="B10" s="4"/>
      <c r="C10" s="4"/>
      <c r="D10" s="4"/>
      <c r="E10" s="4"/>
      <c r="F10" s="4"/>
      <c r="G10" s="4"/>
      <c r="H10" s="4"/>
      <c r="I10" s="4"/>
      <c r="J10" s="4"/>
      <c r="K10" s="4"/>
      <c r="L10" s="4"/>
      <c r="M10" s="4"/>
      <c r="N10" s="2"/>
      <c r="O10" s="3"/>
      <c r="P10" s="70"/>
      <c r="Q10" s="70"/>
      <c r="R10" s="68"/>
      <c r="S10" s="68"/>
      <c r="T10" s="68"/>
      <c r="U10" s="68"/>
      <c r="V10" s="68"/>
      <c r="W10" s="68"/>
      <c r="X10" s="68"/>
      <c r="Y10" s="68"/>
      <c r="Z10" s="68"/>
      <c r="AA10" s="68"/>
      <c r="AB10" s="68"/>
    </row>
    <row r="11" spans="1:28" ht="18" x14ac:dyDescent="0.35">
      <c r="A11" s="2"/>
      <c r="B11" s="2"/>
      <c r="C11" s="2"/>
      <c r="D11" s="2"/>
      <c r="E11" s="2"/>
      <c r="F11" s="2"/>
      <c r="G11" s="2"/>
      <c r="H11" s="2"/>
      <c r="I11" s="2"/>
      <c r="J11" s="2"/>
      <c r="K11" s="2"/>
      <c r="L11" s="2"/>
      <c r="M11" s="2"/>
      <c r="N11" s="2"/>
      <c r="O11" s="3"/>
      <c r="P11" s="70"/>
      <c r="Q11" s="70"/>
      <c r="R11" s="68"/>
      <c r="S11" s="68"/>
      <c r="T11" s="68"/>
      <c r="U11" s="68"/>
      <c r="V11" s="68"/>
      <c r="W11" s="68"/>
      <c r="X11" s="68"/>
      <c r="Y11" s="68"/>
      <c r="Z11" s="68"/>
      <c r="AA11" s="68"/>
      <c r="AB11" s="68"/>
    </row>
    <row r="12" spans="1:28" ht="23.4" x14ac:dyDescent="0.45">
      <c r="A12" s="2"/>
      <c r="B12" s="4"/>
      <c r="C12" s="4"/>
      <c r="D12" s="5" t="s">
        <v>12</v>
      </c>
      <c r="E12" s="4"/>
      <c r="F12" s="4"/>
      <c r="G12" s="4"/>
      <c r="H12" s="4"/>
      <c r="I12" s="4"/>
      <c r="J12" s="4"/>
      <c r="K12" s="4"/>
      <c r="L12" s="4"/>
      <c r="M12" s="4"/>
      <c r="N12" s="2"/>
      <c r="O12" s="3"/>
      <c r="P12" s="71"/>
      <c r="Q12" s="70"/>
      <c r="R12" s="68"/>
      <c r="S12" s="68"/>
      <c r="T12" s="68"/>
      <c r="U12" s="68"/>
      <c r="V12" s="68"/>
      <c r="W12" s="68"/>
      <c r="X12" s="68"/>
      <c r="Y12" s="68"/>
      <c r="Z12" s="68"/>
      <c r="AA12" s="68"/>
      <c r="AB12" s="68"/>
    </row>
    <row r="13" spans="1:28" ht="15" customHeight="1" x14ac:dyDescent="0.35">
      <c r="A13" s="2"/>
      <c r="B13" s="4"/>
      <c r="C13" s="75"/>
      <c r="D13" s="75"/>
      <c r="E13" s="76" t="s">
        <v>13</v>
      </c>
      <c r="F13" s="101" t="s">
        <v>14</v>
      </c>
      <c r="G13" s="101"/>
      <c r="H13" s="101"/>
      <c r="I13" s="101"/>
      <c r="J13" s="76" t="s">
        <v>15</v>
      </c>
      <c r="K13" s="19"/>
      <c r="L13" s="20" t="s">
        <v>16</v>
      </c>
      <c r="M13" s="21"/>
      <c r="N13" s="2"/>
      <c r="P13" s="70"/>
      <c r="Q13" s="70"/>
      <c r="R13" s="68"/>
      <c r="S13" s="68"/>
      <c r="T13" s="68"/>
      <c r="U13" s="68"/>
      <c r="V13" s="68"/>
      <c r="W13" s="68"/>
      <c r="X13" s="68"/>
      <c r="Y13" s="68"/>
      <c r="Z13" s="68"/>
      <c r="AA13" s="68"/>
      <c r="AB13" s="68"/>
    </row>
    <row r="14" spans="1:28" ht="42" customHeight="1" x14ac:dyDescent="0.3">
      <c r="A14" s="2"/>
      <c r="B14" s="22"/>
      <c r="C14" s="65" t="s">
        <v>17</v>
      </c>
      <c r="D14" s="103" t="s">
        <v>18</v>
      </c>
      <c r="E14" s="103"/>
      <c r="F14" s="103"/>
      <c r="G14" s="103"/>
      <c r="H14" s="103"/>
      <c r="I14" s="103"/>
      <c r="J14" s="103"/>
      <c r="K14" s="26"/>
      <c r="L14" s="24"/>
      <c r="M14" s="25"/>
      <c r="N14" s="2"/>
    </row>
    <row r="15" spans="1:28" s="92" customFormat="1" ht="18.75" customHeight="1" x14ac:dyDescent="0.3">
      <c r="A15" s="90"/>
      <c r="B15" s="91"/>
      <c r="C15" s="65"/>
      <c r="D15" s="27"/>
      <c r="E15" s="27" t="s">
        <v>19</v>
      </c>
      <c r="F15" s="27" t="s">
        <v>20</v>
      </c>
      <c r="G15" s="93" t="s">
        <v>21</v>
      </c>
      <c r="H15" s="93"/>
      <c r="I15" s="27" t="s">
        <v>22</v>
      </c>
      <c r="J15" s="27"/>
      <c r="K15" s="27"/>
      <c r="L15" s="27"/>
      <c r="M15" s="25"/>
      <c r="N15" s="90"/>
    </row>
    <row r="16" spans="1:28" ht="267.75" customHeight="1" x14ac:dyDescent="0.3">
      <c r="A16" s="2"/>
      <c r="B16" s="22"/>
      <c r="C16" s="77" t="s">
        <v>23</v>
      </c>
      <c r="D16" s="67" t="s">
        <v>24</v>
      </c>
      <c r="E16" s="86" t="s">
        <v>25</v>
      </c>
      <c r="F16" s="83" t="s">
        <v>26</v>
      </c>
      <c r="G16" s="95" t="s">
        <v>27</v>
      </c>
      <c r="H16" s="95"/>
      <c r="I16" s="83" t="s">
        <v>28</v>
      </c>
      <c r="J16" s="102">
        <v>18</v>
      </c>
      <c r="K16" s="102" t="s">
        <v>29</v>
      </c>
      <c r="L16" s="102">
        <v>20</v>
      </c>
      <c r="M16" s="25"/>
      <c r="N16" s="2"/>
    </row>
    <row r="17" spans="1:14" s="92" customFormat="1" ht="18.75" customHeight="1" x14ac:dyDescent="0.3">
      <c r="A17" s="90"/>
      <c r="B17" s="91"/>
      <c r="C17" s="77"/>
      <c r="D17" s="78" t="s">
        <v>30</v>
      </c>
      <c r="E17" s="28" t="s">
        <v>31</v>
      </c>
      <c r="F17" s="28">
        <v>6</v>
      </c>
      <c r="G17" s="94">
        <v>8</v>
      </c>
      <c r="H17" s="94"/>
      <c r="I17" s="28">
        <v>4</v>
      </c>
      <c r="J17" s="102"/>
      <c r="K17" s="102"/>
      <c r="L17" s="102"/>
      <c r="M17" s="25"/>
      <c r="N17" s="90"/>
    </row>
    <row r="18" spans="1:14" ht="42" customHeight="1" x14ac:dyDescent="0.3">
      <c r="A18" s="2"/>
      <c r="B18" s="22"/>
      <c r="C18" s="65" t="s">
        <v>32</v>
      </c>
      <c r="D18" s="103" t="s">
        <v>33</v>
      </c>
      <c r="E18" s="103"/>
      <c r="F18" s="103"/>
      <c r="G18" s="103"/>
      <c r="H18" s="103"/>
      <c r="I18" s="103"/>
      <c r="J18" s="103"/>
      <c r="K18" s="26"/>
      <c r="L18" s="24"/>
      <c r="M18" s="25"/>
      <c r="N18" s="2"/>
    </row>
    <row r="19" spans="1:14" s="92" customFormat="1" ht="18.75" customHeight="1" x14ac:dyDescent="0.3">
      <c r="A19" s="90"/>
      <c r="B19" s="91"/>
      <c r="C19" s="65"/>
      <c r="D19" s="27"/>
      <c r="E19" s="27" t="s">
        <v>19</v>
      </c>
      <c r="F19" s="97" t="s">
        <v>34</v>
      </c>
      <c r="G19" s="97"/>
      <c r="H19" s="97"/>
      <c r="I19" s="97"/>
      <c r="J19" s="27"/>
      <c r="K19" s="27"/>
      <c r="L19" s="27"/>
      <c r="M19" s="25"/>
      <c r="N19" s="90"/>
    </row>
    <row r="20" spans="1:14" ht="147.75" customHeight="1" x14ac:dyDescent="0.3">
      <c r="A20" s="2"/>
      <c r="B20" s="22"/>
      <c r="C20" s="77" t="s">
        <v>23</v>
      </c>
      <c r="D20" s="67" t="s">
        <v>35</v>
      </c>
      <c r="E20" s="86" t="s">
        <v>36</v>
      </c>
      <c r="F20" s="96" t="s">
        <v>37</v>
      </c>
      <c r="G20" s="96"/>
      <c r="H20" s="96"/>
      <c r="I20" s="96"/>
      <c r="J20" s="102">
        <v>10</v>
      </c>
      <c r="K20" s="102" t="s">
        <v>29</v>
      </c>
      <c r="L20" s="102">
        <v>10</v>
      </c>
      <c r="M20" s="25"/>
      <c r="N20" s="2"/>
    </row>
    <row r="21" spans="1:14" s="92" customFormat="1" ht="18.75" customHeight="1" x14ac:dyDescent="0.3">
      <c r="A21" s="90"/>
      <c r="B21" s="91"/>
      <c r="C21" s="77"/>
      <c r="D21" s="78" t="s">
        <v>30</v>
      </c>
      <c r="E21" s="28" t="s">
        <v>31</v>
      </c>
      <c r="F21" s="94">
        <v>10</v>
      </c>
      <c r="G21" s="94"/>
      <c r="H21" s="94"/>
      <c r="I21" s="94"/>
      <c r="J21" s="102"/>
      <c r="K21" s="102"/>
      <c r="L21" s="102"/>
      <c r="M21" s="25"/>
      <c r="N21" s="90"/>
    </row>
    <row r="22" spans="1:14" ht="42" customHeight="1" x14ac:dyDescent="0.3">
      <c r="A22" s="2"/>
      <c r="B22" s="22"/>
      <c r="C22" s="65" t="s">
        <v>38</v>
      </c>
      <c r="D22" s="103" t="s">
        <v>39</v>
      </c>
      <c r="E22" s="103"/>
      <c r="F22" s="103"/>
      <c r="G22" s="103"/>
      <c r="H22" s="103"/>
      <c r="I22" s="103"/>
      <c r="J22" s="103"/>
      <c r="K22" s="26"/>
      <c r="L22" s="24"/>
      <c r="M22" s="25"/>
      <c r="N22" s="2"/>
    </row>
    <row r="23" spans="1:14" s="92" customFormat="1" ht="18.75" customHeight="1" x14ac:dyDescent="0.3">
      <c r="A23" s="90"/>
      <c r="B23" s="91"/>
      <c r="C23" s="65"/>
      <c r="D23" s="27"/>
      <c r="E23" s="27" t="s">
        <v>19</v>
      </c>
      <c r="F23" s="93" t="s">
        <v>40</v>
      </c>
      <c r="G23" s="93"/>
      <c r="H23" s="93" t="s">
        <v>41</v>
      </c>
      <c r="I23" s="93"/>
      <c r="J23" s="27"/>
      <c r="K23" s="27"/>
      <c r="L23" s="27"/>
      <c r="M23" s="25"/>
      <c r="N23" s="90"/>
    </row>
    <row r="24" spans="1:14" ht="130.5" customHeight="1" x14ac:dyDescent="0.3">
      <c r="A24" s="2"/>
      <c r="B24" s="22"/>
      <c r="C24" s="77" t="s">
        <v>23</v>
      </c>
      <c r="D24" s="74" t="s">
        <v>42</v>
      </c>
      <c r="E24" s="87" t="s">
        <v>128</v>
      </c>
      <c r="F24" s="96" t="s">
        <v>43</v>
      </c>
      <c r="G24" s="96"/>
      <c r="H24" s="95" t="s">
        <v>44</v>
      </c>
      <c r="I24" s="95"/>
      <c r="J24" s="102">
        <v>10</v>
      </c>
      <c r="K24" s="102" t="s">
        <v>29</v>
      </c>
      <c r="L24" s="102">
        <v>10</v>
      </c>
      <c r="M24" s="25"/>
      <c r="N24" s="2"/>
    </row>
    <row r="25" spans="1:14" s="92" customFormat="1" ht="18.75" customHeight="1" x14ac:dyDescent="0.3">
      <c r="A25" s="90"/>
      <c r="B25" s="91"/>
      <c r="C25" s="77"/>
      <c r="D25" s="78" t="s">
        <v>30</v>
      </c>
      <c r="E25" s="28" t="s">
        <v>31</v>
      </c>
      <c r="F25" s="94">
        <v>7</v>
      </c>
      <c r="G25" s="94"/>
      <c r="H25" s="94">
        <v>3</v>
      </c>
      <c r="I25" s="94"/>
      <c r="J25" s="102"/>
      <c r="K25" s="102"/>
      <c r="L25" s="102"/>
      <c r="M25" s="25"/>
      <c r="N25" s="90"/>
    </row>
    <row r="26" spans="1:14" ht="42" customHeight="1" x14ac:dyDescent="0.3">
      <c r="A26" s="2"/>
      <c r="B26" s="22"/>
      <c r="C26" s="65" t="s">
        <v>45</v>
      </c>
      <c r="D26" s="104" t="s">
        <v>46</v>
      </c>
      <c r="E26" s="104"/>
      <c r="F26" s="104"/>
      <c r="G26" s="104"/>
      <c r="H26" s="104"/>
      <c r="I26" s="104"/>
      <c r="J26" s="23"/>
      <c r="K26" s="29"/>
      <c r="L26" s="24"/>
      <c r="M26" s="25"/>
      <c r="N26" s="2"/>
    </row>
    <row r="27" spans="1:14" s="92" customFormat="1" ht="18.75" customHeight="1" x14ac:dyDescent="0.3">
      <c r="A27" s="90"/>
      <c r="B27" s="91"/>
      <c r="C27" s="65"/>
      <c r="D27" s="27"/>
      <c r="E27" s="27" t="s">
        <v>19</v>
      </c>
      <c r="F27" s="27" t="s">
        <v>47</v>
      </c>
      <c r="G27" s="27" t="s">
        <v>41</v>
      </c>
      <c r="H27" s="93" t="s">
        <v>48</v>
      </c>
      <c r="I27" s="93"/>
      <c r="J27" s="27"/>
      <c r="K27" s="27"/>
      <c r="L27" s="27"/>
      <c r="M27" s="25"/>
      <c r="N27" s="90"/>
    </row>
    <row r="28" spans="1:14" ht="195.75" customHeight="1" x14ac:dyDescent="0.3">
      <c r="A28" s="2"/>
      <c r="B28" s="22"/>
      <c r="C28" s="77" t="s">
        <v>23</v>
      </c>
      <c r="D28" s="67" t="s">
        <v>49</v>
      </c>
      <c r="E28" s="87" t="s">
        <v>129</v>
      </c>
      <c r="F28" s="83" t="s">
        <v>50</v>
      </c>
      <c r="G28" s="85" t="s">
        <v>51</v>
      </c>
      <c r="H28" s="108" t="s">
        <v>130</v>
      </c>
      <c r="I28" s="108"/>
      <c r="J28" s="102">
        <v>9</v>
      </c>
      <c r="K28" s="102" t="s">
        <v>29</v>
      </c>
      <c r="L28" s="102">
        <v>10</v>
      </c>
      <c r="M28" s="25"/>
      <c r="N28" s="2"/>
    </row>
    <row r="29" spans="1:14" s="92" customFormat="1" ht="18.75" customHeight="1" x14ac:dyDescent="0.3">
      <c r="A29" s="90"/>
      <c r="B29" s="91"/>
      <c r="C29" s="77"/>
      <c r="D29" s="78" t="s">
        <v>30</v>
      </c>
      <c r="E29" s="28" t="s">
        <v>31</v>
      </c>
      <c r="F29" s="66">
        <v>2</v>
      </c>
      <c r="G29" s="66">
        <v>3</v>
      </c>
      <c r="H29" s="106">
        <v>4</v>
      </c>
      <c r="I29" s="106"/>
      <c r="J29" s="102"/>
      <c r="K29" s="102"/>
      <c r="L29" s="102"/>
      <c r="M29" s="25"/>
      <c r="N29" s="90"/>
    </row>
    <row r="30" spans="1:14" ht="42" customHeight="1" x14ac:dyDescent="0.3">
      <c r="A30" s="2"/>
      <c r="B30" s="22"/>
      <c r="C30" s="65" t="s">
        <v>52</v>
      </c>
      <c r="D30" s="105" t="s">
        <v>53</v>
      </c>
      <c r="E30" s="105"/>
      <c r="F30" s="105"/>
      <c r="G30" s="105"/>
      <c r="H30" s="105"/>
      <c r="I30" s="105"/>
      <c r="J30" s="105"/>
      <c r="K30" s="23"/>
      <c r="L30" s="24"/>
      <c r="M30" s="25"/>
      <c r="N30" s="2"/>
    </row>
    <row r="31" spans="1:14" s="92" customFormat="1" ht="18" x14ac:dyDescent="0.3">
      <c r="A31" s="90"/>
      <c r="B31" s="91"/>
      <c r="C31" s="65"/>
      <c r="D31" s="27"/>
      <c r="E31" s="27" t="s">
        <v>19</v>
      </c>
      <c r="F31" s="72" t="s">
        <v>54</v>
      </c>
      <c r="G31" s="72" t="s">
        <v>55</v>
      </c>
      <c r="H31" s="97" t="s">
        <v>56</v>
      </c>
      <c r="I31" s="97"/>
      <c r="J31" s="27"/>
      <c r="K31" s="27"/>
      <c r="L31" s="27"/>
      <c r="M31" s="25"/>
      <c r="N31" s="90"/>
    </row>
    <row r="32" spans="1:14" ht="197.25" customHeight="1" x14ac:dyDescent="0.3">
      <c r="A32" s="2"/>
      <c r="B32" s="22"/>
      <c r="C32" s="77" t="s">
        <v>23</v>
      </c>
      <c r="D32" s="79" t="s">
        <v>57</v>
      </c>
      <c r="E32" s="87" t="s">
        <v>129</v>
      </c>
      <c r="F32" s="81" t="s">
        <v>58</v>
      </c>
      <c r="G32" s="82" t="s">
        <v>59</v>
      </c>
      <c r="H32" s="96" t="s">
        <v>60</v>
      </c>
      <c r="I32" s="96"/>
      <c r="J32" s="102">
        <v>15</v>
      </c>
      <c r="K32" s="102" t="s">
        <v>29</v>
      </c>
      <c r="L32" s="102">
        <v>15</v>
      </c>
      <c r="M32" s="25"/>
      <c r="N32" s="2"/>
    </row>
    <row r="33" spans="1:16" s="92" customFormat="1" ht="18" x14ac:dyDescent="0.3">
      <c r="A33" s="90"/>
      <c r="B33" s="91"/>
      <c r="C33" s="77"/>
      <c r="D33" s="78" t="s">
        <v>30</v>
      </c>
      <c r="E33" s="28" t="s">
        <v>31</v>
      </c>
      <c r="F33" s="80">
        <v>4</v>
      </c>
      <c r="G33" s="80">
        <v>5</v>
      </c>
      <c r="H33" s="107">
        <v>6</v>
      </c>
      <c r="I33" s="107"/>
      <c r="J33" s="102"/>
      <c r="K33" s="102"/>
      <c r="L33" s="102"/>
      <c r="M33" s="25"/>
      <c r="N33" s="90"/>
    </row>
    <row r="34" spans="1:16" ht="42" customHeight="1" x14ac:dyDescent="0.3">
      <c r="A34" s="2"/>
      <c r="B34" s="22"/>
      <c r="C34" s="65" t="s">
        <v>61</v>
      </c>
      <c r="D34" s="104" t="s">
        <v>62</v>
      </c>
      <c r="E34" s="104"/>
      <c r="F34" s="104"/>
      <c r="G34" s="104"/>
      <c r="H34" s="104"/>
      <c r="I34" s="104"/>
      <c r="J34" s="104"/>
      <c r="K34" s="23"/>
      <c r="L34" s="24"/>
      <c r="M34" s="25"/>
      <c r="N34" s="2"/>
    </row>
    <row r="35" spans="1:16" s="92" customFormat="1" ht="18.75" customHeight="1" x14ac:dyDescent="0.3">
      <c r="A35" s="90"/>
      <c r="B35" s="91"/>
      <c r="C35" s="65"/>
      <c r="D35" s="27"/>
      <c r="E35" s="27" t="s">
        <v>19</v>
      </c>
      <c r="F35" s="72" t="s">
        <v>20</v>
      </c>
      <c r="G35" s="72" t="s">
        <v>63</v>
      </c>
      <c r="H35" s="97" t="s">
        <v>64</v>
      </c>
      <c r="I35" s="97"/>
      <c r="J35" s="27"/>
      <c r="K35" s="27"/>
      <c r="L35" s="27"/>
      <c r="M35" s="25"/>
      <c r="N35" s="90"/>
    </row>
    <row r="36" spans="1:16" ht="144.75" customHeight="1" x14ac:dyDescent="0.3">
      <c r="A36" s="2"/>
      <c r="B36" s="22"/>
      <c r="C36" s="77" t="s">
        <v>23</v>
      </c>
      <c r="D36" s="88" t="s">
        <v>65</v>
      </c>
      <c r="E36" s="87" t="s">
        <v>128</v>
      </c>
      <c r="F36" s="89" t="s">
        <v>66</v>
      </c>
      <c r="G36" s="84" t="s">
        <v>67</v>
      </c>
      <c r="H36" s="111" t="s">
        <v>68</v>
      </c>
      <c r="I36" s="111"/>
      <c r="J36" s="102">
        <v>20</v>
      </c>
      <c r="K36" s="102" t="s">
        <v>29</v>
      </c>
      <c r="L36" s="102">
        <v>20</v>
      </c>
      <c r="M36" s="25"/>
      <c r="N36" s="2"/>
    </row>
    <row r="37" spans="1:16" s="92" customFormat="1" ht="18.75" customHeight="1" x14ac:dyDescent="0.3">
      <c r="A37" s="90"/>
      <c r="B37" s="91"/>
      <c r="C37" s="77"/>
      <c r="D37" s="78" t="s">
        <v>30</v>
      </c>
      <c r="E37" s="28" t="s">
        <v>31</v>
      </c>
      <c r="F37" s="73">
        <v>6</v>
      </c>
      <c r="G37" s="73">
        <v>6</v>
      </c>
      <c r="H37" s="112">
        <v>8</v>
      </c>
      <c r="I37" s="112"/>
      <c r="J37" s="102"/>
      <c r="K37" s="102"/>
      <c r="L37" s="102"/>
      <c r="M37" s="25"/>
      <c r="N37" s="90"/>
    </row>
    <row r="38" spans="1:16" ht="42" customHeight="1" x14ac:dyDescent="0.3">
      <c r="A38" s="2"/>
      <c r="B38" s="22"/>
      <c r="C38" s="65" t="s">
        <v>69</v>
      </c>
      <c r="D38" s="104" t="s">
        <v>70</v>
      </c>
      <c r="E38" s="104"/>
      <c r="F38" s="104"/>
      <c r="G38" s="104"/>
      <c r="H38" s="104"/>
      <c r="I38" s="104"/>
      <c r="J38" s="104"/>
      <c r="K38" s="23"/>
      <c r="L38" s="24"/>
      <c r="M38" s="25"/>
      <c r="N38" s="2"/>
    </row>
    <row r="39" spans="1:16" s="92" customFormat="1" ht="18.75" customHeight="1" x14ac:dyDescent="0.3">
      <c r="A39" s="90"/>
      <c r="B39" s="91"/>
      <c r="C39" s="65"/>
      <c r="D39" s="27"/>
      <c r="E39" s="27" t="s">
        <v>19</v>
      </c>
      <c r="F39" s="27" t="s">
        <v>47</v>
      </c>
      <c r="G39" s="27" t="s">
        <v>55</v>
      </c>
      <c r="H39" s="27" t="s">
        <v>22</v>
      </c>
      <c r="I39" s="27" t="s">
        <v>71</v>
      </c>
      <c r="J39" s="27"/>
      <c r="K39" s="27"/>
      <c r="L39" s="27"/>
      <c r="M39" s="25"/>
      <c r="N39" s="90"/>
    </row>
    <row r="40" spans="1:16" ht="147" customHeight="1" x14ac:dyDescent="0.3">
      <c r="A40" s="2"/>
      <c r="B40" s="22"/>
      <c r="C40" s="77" t="s">
        <v>23</v>
      </c>
      <c r="D40" s="74" t="s">
        <v>72</v>
      </c>
      <c r="E40" s="87" t="s">
        <v>131</v>
      </c>
      <c r="F40" s="81" t="s">
        <v>73</v>
      </c>
      <c r="G40" s="85" t="s">
        <v>74</v>
      </c>
      <c r="H40" s="81" t="s">
        <v>75</v>
      </c>
      <c r="I40" s="82" t="s">
        <v>76</v>
      </c>
      <c r="J40" s="102">
        <v>15</v>
      </c>
      <c r="K40" s="102" t="s">
        <v>29</v>
      </c>
      <c r="L40" s="102">
        <v>15</v>
      </c>
      <c r="M40" s="25"/>
      <c r="N40" s="2"/>
    </row>
    <row r="41" spans="1:16" s="92" customFormat="1" ht="18.75" customHeight="1" x14ac:dyDescent="0.3">
      <c r="A41" s="90"/>
      <c r="B41" s="91"/>
      <c r="C41" s="77"/>
      <c r="D41" s="78" t="s">
        <v>30</v>
      </c>
      <c r="E41" s="28" t="s">
        <v>31</v>
      </c>
      <c r="F41" s="28">
        <v>2</v>
      </c>
      <c r="G41" s="28">
        <v>5</v>
      </c>
      <c r="H41" s="73">
        <v>4</v>
      </c>
      <c r="I41" s="28">
        <v>4</v>
      </c>
      <c r="J41" s="102"/>
      <c r="K41" s="102"/>
      <c r="L41" s="102"/>
      <c r="M41" s="25"/>
      <c r="N41" s="90"/>
    </row>
    <row r="42" spans="1:16" ht="18.75" customHeight="1" x14ac:dyDescent="0.3">
      <c r="A42" s="2"/>
      <c r="B42" s="22"/>
      <c r="C42" s="22"/>
      <c r="D42" s="30"/>
      <c r="E42" s="30"/>
      <c r="F42" s="30"/>
      <c r="G42" s="30"/>
      <c r="H42" s="31"/>
      <c r="I42" s="31"/>
      <c r="J42" s="32">
        <f>SUM(J14:J41)</f>
        <v>97</v>
      </c>
      <c r="K42" s="32" t="s">
        <v>29</v>
      </c>
      <c r="L42" s="32">
        <f>SUM(L14:L41)</f>
        <v>100</v>
      </c>
      <c r="M42" s="25"/>
      <c r="N42" s="2"/>
      <c r="P42" s="3"/>
    </row>
    <row r="43" spans="1:16" ht="18" x14ac:dyDescent="0.3">
      <c r="A43" s="2"/>
      <c r="B43" s="22"/>
      <c r="C43" s="22"/>
      <c r="D43" s="4"/>
      <c r="E43" s="4"/>
      <c r="F43" s="4"/>
      <c r="G43" s="4"/>
      <c r="H43" s="4"/>
      <c r="I43" s="4"/>
      <c r="J43" s="4"/>
      <c r="K43" s="4"/>
      <c r="L43" s="4"/>
      <c r="M43" s="4"/>
      <c r="N43" s="2"/>
      <c r="O43" s="33"/>
    </row>
    <row r="44" spans="1:16" ht="14.4" x14ac:dyDescent="0.3">
      <c r="A44" s="2"/>
      <c r="B44" s="2"/>
      <c r="C44" s="2"/>
      <c r="D44" s="2"/>
      <c r="E44" s="2"/>
      <c r="F44" s="2"/>
      <c r="G44" s="2"/>
      <c r="H44" s="2"/>
      <c r="I44" s="2"/>
      <c r="J44" s="2"/>
      <c r="K44" s="2"/>
      <c r="L44" s="2"/>
      <c r="M44" s="2"/>
      <c r="N44" s="2"/>
    </row>
    <row r="45" spans="1:16" ht="23.25" customHeight="1" x14ac:dyDescent="0.45">
      <c r="A45" s="2"/>
      <c r="B45" s="22"/>
      <c r="C45" s="109" t="s">
        <v>77</v>
      </c>
      <c r="D45" s="109"/>
      <c r="E45" s="109"/>
      <c r="F45" s="34"/>
      <c r="G45" s="34"/>
      <c r="H45" s="34"/>
      <c r="I45" s="34"/>
      <c r="J45" s="34"/>
      <c r="K45" s="34"/>
      <c r="L45" s="35"/>
      <c r="M45" s="25"/>
      <c r="N45" s="2"/>
    </row>
    <row r="46" spans="1:16" ht="18.75" customHeight="1" x14ac:dyDescent="0.3">
      <c r="A46" s="2"/>
      <c r="B46" s="4"/>
      <c r="C46" s="11" t="s">
        <v>78</v>
      </c>
      <c r="D46" s="11" t="s">
        <v>79</v>
      </c>
      <c r="E46" s="110" t="s">
        <v>3</v>
      </c>
      <c r="F46" s="110"/>
      <c r="G46" s="110"/>
      <c r="H46" s="110"/>
      <c r="I46" s="110"/>
      <c r="J46" s="11"/>
      <c r="K46" s="11"/>
      <c r="L46" s="36" t="s">
        <v>80</v>
      </c>
      <c r="M46" s="25"/>
      <c r="N46" s="2"/>
    </row>
    <row r="47" spans="1:16" ht="34.5" customHeight="1" x14ac:dyDescent="0.3">
      <c r="A47" s="2"/>
      <c r="B47" s="22"/>
      <c r="C47" s="37" t="s">
        <v>81</v>
      </c>
      <c r="D47" s="38" t="s">
        <v>82</v>
      </c>
      <c r="E47" s="118" t="s">
        <v>83</v>
      </c>
      <c r="F47" s="118"/>
      <c r="G47" s="118"/>
      <c r="H47" s="118"/>
      <c r="I47" s="118"/>
      <c r="J47" s="118"/>
      <c r="K47" s="38"/>
      <c r="L47" s="39">
        <v>3</v>
      </c>
      <c r="M47" s="25"/>
      <c r="N47" s="2"/>
    </row>
    <row r="48" spans="1:16" ht="34.5" customHeight="1" x14ac:dyDescent="0.3">
      <c r="A48" s="2"/>
      <c r="B48" s="4"/>
      <c r="C48" s="40" t="s">
        <v>81</v>
      </c>
      <c r="D48" s="38" t="s">
        <v>84</v>
      </c>
      <c r="E48" s="118" t="s">
        <v>85</v>
      </c>
      <c r="F48" s="118"/>
      <c r="G48" s="118"/>
      <c r="H48" s="118"/>
      <c r="I48" s="118"/>
      <c r="J48" s="118"/>
      <c r="K48" s="38"/>
      <c r="L48" s="41">
        <v>3</v>
      </c>
      <c r="M48" s="25"/>
      <c r="N48" s="2"/>
    </row>
    <row r="49" spans="1:14" ht="34.5" customHeight="1" x14ac:dyDescent="0.3">
      <c r="A49" s="2"/>
      <c r="B49" s="22"/>
      <c r="C49" s="37" t="s">
        <v>81</v>
      </c>
      <c r="D49" s="38" t="s">
        <v>86</v>
      </c>
      <c r="E49" s="118" t="s">
        <v>87</v>
      </c>
      <c r="F49" s="118"/>
      <c r="G49" s="118"/>
      <c r="H49" s="118"/>
      <c r="I49" s="118"/>
      <c r="J49" s="118"/>
      <c r="K49" s="38"/>
      <c r="L49" s="39">
        <v>3</v>
      </c>
      <c r="M49" s="25"/>
      <c r="N49" s="2"/>
    </row>
    <row r="50" spans="1:14" ht="34.5" customHeight="1" x14ac:dyDescent="0.3">
      <c r="A50" s="2"/>
      <c r="B50" s="4"/>
      <c r="C50" s="42" t="s">
        <v>88</v>
      </c>
      <c r="D50" s="43" t="s">
        <v>89</v>
      </c>
      <c r="E50" s="119" t="s">
        <v>90</v>
      </c>
      <c r="F50" s="119"/>
      <c r="G50" s="119"/>
      <c r="H50" s="119"/>
      <c r="I50" s="119"/>
      <c r="J50" s="119"/>
      <c r="K50" s="43"/>
      <c r="L50" s="44">
        <v>3</v>
      </c>
      <c r="M50" s="25"/>
      <c r="N50" s="2"/>
    </row>
    <row r="51" spans="1:14" ht="34.5" customHeight="1" x14ac:dyDescent="0.3">
      <c r="A51" s="2"/>
      <c r="B51" s="22"/>
      <c r="C51" s="45" t="s">
        <v>88</v>
      </c>
      <c r="D51" s="46" t="s">
        <v>91</v>
      </c>
      <c r="E51" s="120" t="s">
        <v>92</v>
      </c>
      <c r="F51" s="120"/>
      <c r="G51" s="120"/>
      <c r="H51" s="120"/>
      <c r="I51" s="120"/>
      <c r="J51" s="120"/>
      <c r="K51" s="46"/>
      <c r="L51" s="47">
        <v>3</v>
      </c>
      <c r="M51" s="25"/>
      <c r="N51" s="2"/>
    </row>
    <row r="52" spans="1:14" ht="34.5" customHeight="1" x14ac:dyDescent="0.3">
      <c r="A52" s="48"/>
      <c r="B52" s="49"/>
      <c r="C52" s="50" t="s">
        <v>93</v>
      </c>
      <c r="D52" s="43" t="s">
        <v>94</v>
      </c>
      <c r="E52" s="119" t="s">
        <v>95</v>
      </c>
      <c r="F52" s="119"/>
      <c r="G52" s="119"/>
      <c r="H52" s="119"/>
      <c r="I52" s="119"/>
      <c r="J52" s="119"/>
      <c r="K52" s="43"/>
      <c r="L52" s="51">
        <v>3</v>
      </c>
      <c r="M52" s="52"/>
      <c r="N52" s="48"/>
    </row>
    <row r="53" spans="1:14" ht="34.5" customHeight="1" x14ac:dyDescent="0.3">
      <c r="A53" s="2"/>
      <c r="B53" s="4"/>
      <c r="C53" s="53" t="s">
        <v>96</v>
      </c>
      <c r="D53" s="46" t="s">
        <v>97</v>
      </c>
      <c r="E53" s="120" t="s">
        <v>98</v>
      </c>
      <c r="F53" s="120"/>
      <c r="G53" s="120"/>
      <c r="H53" s="120"/>
      <c r="I53" s="120"/>
      <c r="J53" s="120"/>
      <c r="K53" s="46"/>
      <c r="L53" s="54">
        <v>3</v>
      </c>
      <c r="M53" s="25"/>
      <c r="N53" s="2"/>
    </row>
    <row r="54" spans="1:14" ht="34.5" customHeight="1" x14ac:dyDescent="0.3">
      <c r="A54" s="2"/>
      <c r="B54" s="4"/>
      <c r="C54" s="42" t="s">
        <v>99</v>
      </c>
      <c r="D54" s="43" t="s">
        <v>99</v>
      </c>
      <c r="E54" s="119" t="s">
        <v>100</v>
      </c>
      <c r="F54" s="119"/>
      <c r="G54" s="119"/>
      <c r="H54" s="119"/>
      <c r="I54" s="119"/>
      <c r="J54" s="119"/>
      <c r="K54" s="43"/>
      <c r="L54" s="44">
        <v>3</v>
      </c>
      <c r="M54" s="25"/>
      <c r="N54" s="2"/>
    </row>
    <row r="55" spans="1:14" ht="34.5" customHeight="1" x14ac:dyDescent="0.3">
      <c r="A55" s="2"/>
      <c r="B55" s="4"/>
      <c r="C55" s="45" t="s">
        <v>99</v>
      </c>
      <c r="D55" s="46" t="s">
        <v>101</v>
      </c>
      <c r="E55" s="120" t="s">
        <v>102</v>
      </c>
      <c r="F55" s="120"/>
      <c r="G55" s="120"/>
      <c r="H55" s="120"/>
      <c r="I55" s="120"/>
      <c r="J55" s="120"/>
      <c r="K55" s="46"/>
      <c r="L55" s="47">
        <v>3</v>
      </c>
      <c r="M55" s="25"/>
      <c r="N55" s="2"/>
    </row>
    <row r="56" spans="1:14" ht="34.5" customHeight="1" x14ac:dyDescent="0.3">
      <c r="A56" s="55"/>
      <c r="B56" s="56"/>
      <c r="C56" s="50" t="s">
        <v>103</v>
      </c>
      <c r="D56" s="43" t="s">
        <v>104</v>
      </c>
      <c r="E56" s="119" t="s">
        <v>105</v>
      </c>
      <c r="F56" s="119"/>
      <c r="G56" s="119"/>
      <c r="H56" s="119"/>
      <c r="I56" s="119"/>
      <c r="J56" s="119"/>
      <c r="K56" s="43"/>
      <c r="L56" s="51">
        <v>3</v>
      </c>
      <c r="M56" s="57"/>
      <c r="N56" s="55"/>
    </row>
    <row r="57" spans="1:14" ht="34.5" customHeight="1" x14ac:dyDescent="0.3">
      <c r="A57" s="2"/>
      <c r="B57" s="22"/>
      <c r="C57" s="53" t="s">
        <v>103</v>
      </c>
      <c r="D57" s="46" t="s">
        <v>106</v>
      </c>
      <c r="E57" s="120" t="s">
        <v>107</v>
      </c>
      <c r="F57" s="120"/>
      <c r="G57" s="120"/>
      <c r="H57" s="120"/>
      <c r="I57" s="120"/>
      <c r="J57" s="120"/>
      <c r="K57" s="46"/>
      <c r="L57" s="54">
        <v>3</v>
      </c>
      <c r="M57" s="25"/>
      <c r="N57" s="2"/>
    </row>
    <row r="58" spans="1:14" ht="14.4" x14ac:dyDescent="0.3">
      <c r="A58" s="2"/>
      <c r="B58" s="4"/>
      <c r="C58" s="4"/>
      <c r="D58" s="34"/>
      <c r="E58" s="34"/>
      <c r="F58" s="34"/>
      <c r="G58" s="34"/>
      <c r="H58" s="34"/>
      <c r="I58" s="34"/>
      <c r="J58" s="34"/>
      <c r="K58" s="34"/>
      <c r="L58" s="34"/>
      <c r="M58" s="34"/>
      <c r="N58" s="2"/>
    </row>
    <row r="59" spans="1:14" ht="14.4" x14ac:dyDescent="0.3">
      <c r="A59" s="2"/>
      <c r="B59" s="2"/>
      <c r="C59" s="2"/>
      <c r="D59" s="2"/>
      <c r="E59" s="2"/>
      <c r="F59" s="2"/>
      <c r="G59" s="2"/>
      <c r="H59" s="2"/>
      <c r="I59" s="2"/>
      <c r="J59" s="2"/>
      <c r="K59" s="2"/>
      <c r="L59" s="2"/>
      <c r="M59" s="2"/>
      <c r="N59" s="2"/>
    </row>
    <row r="60" spans="1:14" ht="23.4" x14ac:dyDescent="0.45">
      <c r="A60" s="2" t="s">
        <v>0</v>
      </c>
      <c r="B60" s="58" t="s">
        <v>0</v>
      </c>
      <c r="C60" s="109" t="s">
        <v>108</v>
      </c>
      <c r="D60" s="109"/>
      <c r="E60" s="109"/>
      <c r="F60" s="59" t="s">
        <v>0</v>
      </c>
      <c r="G60" s="4" t="s">
        <v>0</v>
      </c>
      <c r="H60" s="4" t="s">
        <v>0</v>
      </c>
      <c r="I60" s="4" t="s">
        <v>0</v>
      </c>
      <c r="J60" s="4" t="s">
        <v>0</v>
      </c>
      <c r="K60" s="4"/>
      <c r="L60" s="4" t="s">
        <v>0</v>
      </c>
      <c r="M60" s="4" t="s">
        <v>0</v>
      </c>
      <c r="N60" s="2" t="s">
        <v>0</v>
      </c>
    </row>
    <row r="61" spans="1:14" ht="15" customHeight="1" x14ac:dyDescent="0.3">
      <c r="A61" s="2" t="s">
        <v>0</v>
      </c>
      <c r="B61" s="58" t="s">
        <v>0</v>
      </c>
      <c r="C61" s="15" t="s">
        <v>109</v>
      </c>
      <c r="D61" s="15" t="s">
        <v>110</v>
      </c>
      <c r="E61" s="115" t="s">
        <v>111</v>
      </c>
      <c r="F61" s="115"/>
      <c r="G61" s="115"/>
      <c r="H61" s="115"/>
      <c r="I61" s="60" t="s">
        <v>112</v>
      </c>
      <c r="J61" s="15"/>
      <c r="K61" s="15"/>
      <c r="L61" s="15"/>
      <c r="M61" s="4" t="s">
        <v>0</v>
      </c>
      <c r="N61" s="2" t="s">
        <v>0</v>
      </c>
    </row>
    <row r="62" spans="1:14" ht="48" customHeight="1" x14ac:dyDescent="0.3">
      <c r="A62" s="2" t="s">
        <v>0</v>
      </c>
      <c r="B62" s="4" t="s">
        <v>0</v>
      </c>
      <c r="C62" s="61">
        <v>1</v>
      </c>
      <c r="D62" s="62" t="s">
        <v>113</v>
      </c>
      <c r="E62" s="113" t="s">
        <v>114</v>
      </c>
      <c r="F62" s="113"/>
      <c r="G62" s="113"/>
      <c r="H62" s="113"/>
      <c r="I62" s="114" t="s">
        <v>115</v>
      </c>
      <c r="J62" s="114"/>
      <c r="K62" s="114"/>
      <c r="L62" s="114"/>
      <c r="M62" s="4" t="s">
        <v>0</v>
      </c>
      <c r="N62" s="2" t="s">
        <v>0</v>
      </c>
    </row>
    <row r="63" spans="1:14" ht="48" customHeight="1" x14ac:dyDescent="0.3">
      <c r="A63" s="2" t="s">
        <v>0</v>
      </c>
      <c r="B63" s="4" t="s">
        <v>0</v>
      </c>
      <c r="C63" s="63">
        <v>2</v>
      </c>
      <c r="D63" s="64" t="s">
        <v>116</v>
      </c>
      <c r="E63" s="116" t="s">
        <v>117</v>
      </c>
      <c r="F63" s="116"/>
      <c r="G63" s="116"/>
      <c r="H63" s="116"/>
      <c r="I63" s="117" t="s">
        <v>118</v>
      </c>
      <c r="J63" s="117"/>
      <c r="K63" s="117"/>
      <c r="L63" s="117"/>
      <c r="M63" s="4" t="s">
        <v>0</v>
      </c>
      <c r="N63" s="2" t="s">
        <v>0</v>
      </c>
    </row>
    <row r="64" spans="1:14" ht="48" customHeight="1" x14ac:dyDescent="0.3">
      <c r="A64" s="2" t="s">
        <v>0</v>
      </c>
      <c r="B64" s="4" t="s">
        <v>0</v>
      </c>
      <c r="C64" s="61">
        <v>3</v>
      </c>
      <c r="D64" s="62" t="s">
        <v>119</v>
      </c>
      <c r="E64" s="113" t="s">
        <v>120</v>
      </c>
      <c r="F64" s="113"/>
      <c r="G64" s="113"/>
      <c r="H64" s="113"/>
      <c r="I64" s="114" t="s">
        <v>121</v>
      </c>
      <c r="J64" s="114"/>
      <c r="K64" s="114"/>
      <c r="L64" s="114"/>
      <c r="M64" s="4" t="s">
        <v>0</v>
      </c>
      <c r="N64" s="2" t="s">
        <v>0</v>
      </c>
    </row>
    <row r="65" spans="1:14" ht="48" customHeight="1" x14ac:dyDescent="0.3">
      <c r="A65" s="2" t="s">
        <v>0</v>
      </c>
      <c r="B65" s="4" t="s">
        <v>0</v>
      </c>
      <c r="C65" s="63">
        <v>4</v>
      </c>
      <c r="D65" s="64" t="s">
        <v>122</v>
      </c>
      <c r="E65" s="116" t="s">
        <v>123</v>
      </c>
      <c r="F65" s="116"/>
      <c r="G65" s="116"/>
      <c r="H65" s="116"/>
      <c r="I65" s="117" t="s">
        <v>124</v>
      </c>
      <c r="J65" s="117"/>
      <c r="K65" s="117"/>
      <c r="L65" s="117"/>
      <c r="M65" s="4" t="s">
        <v>0</v>
      </c>
      <c r="N65" s="2" t="s">
        <v>0</v>
      </c>
    </row>
    <row r="66" spans="1:14" ht="48" customHeight="1" x14ac:dyDescent="0.3">
      <c r="A66" s="2" t="s">
        <v>0</v>
      </c>
      <c r="B66" s="4" t="s">
        <v>0</v>
      </c>
      <c r="C66" s="61">
        <v>5</v>
      </c>
      <c r="D66" s="62" t="s">
        <v>125</v>
      </c>
      <c r="E66" s="113" t="s">
        <v>126</v>
      </c>
      <c r="F66" s="113"/>
      <c r="G66" s="113"/>
      <c r="H66" s="113"/>
      <c r="I66" s="114" t="s">
        <v>127</v>
      </c>
      <c r="J66" s="114"/>
      <c r="K66" s="114"/>
      <c r="L66" s="114"/>
      <c r="M66" s="4" t="s">
        <v>0</v>
      </c>
      <c r="N66" s="2" t="s">
        <v>0</v>
      </c>
    </row>
    <row r="67" spans="1:14" ht="14.4" x14ac:dyDescent="0.3">
      <c r="A67" s="2" t="s">
        <v>0</v>
      </c>
      <c r="B67" s="4" t="s">
        <v>0</v>
      </c>
      <c r="C67" s="4" t="s">
        <v>0</v>
      </c>
      <c r="D67" s="4" t="s">
        <v>0</v>
      </c>
      <c r="E67" s="4" t="s">
        <v>0</v>
      </c>
      <c r="F67" s="4" t="s">
        <v>0</v>
      </c>
      <c r="G67" s="4" t="s">
        <v>0</v>
      </c>
      <c r="H67" s="4" t="s">
        <v>0</v>
      </c>
      <c r="I67" s="4" t="s">
        <v>0</v>
      </c>
      <c r="J67" s="4" t="s">
        <v>0</v>
      </c>
      <c r="K67" s="4"/>
      <c r="L67" s="4" t="s">
        <v>0</v>
      </c>
      <c r="M67" s="4" t="s">
        <v>0</v>
      </c>
      <c r="N67" s="2" t="s">
        <v>0</v>
      </c>
    </row>
    <row r="68" spans="1:14" ht="14.4" x14ac:dyDescent="0.3">
      <c r="A68" s="2" t="s">
        <v>0</v>
      </c>
      <c r="B68" s="2" t="s">
        <v>0</v>
      </c>
      <c r="C68" s="2" t="s">
        <v>0</v>
      </c>
      <c r="D68" s="2" t="s">
        <v>0</v>
      </c>
      <c r="E68" s="2" t="s">
        <v>0</v>
      </c>
      <c r="F68" s="2" t="s">
        <v>0</v>
      </c>
      <c r="G68" s="2" t="s">
        <v>0</v>
      </c>
      <c r="H68" s="2" t="s">
        <v>0</v>
      </c>
      <c r="I68" s="2" t="s">
        <v>0</v>
      </c>
      <c r="J68" s="2" t="s">
        <v>0</v>
      </c>
      <c r="K68" s="2"/>
      <c r="L68" s="2" t="s">
        <v>0</v>
      </c>
      <c r="M68" s="2" t="s">
        <v>0</v>
      </c>
      <c r="N68" s="2" t="s">
        <v>0</v>
      </c>
    </row>
    <row r="77" spans="1:14" ht="14.4" x14ac:dyDescent="0.3"/>
    <row r="78" spans="1:14" ht="14.4" x14ac:dyDescent="0.3"/>
    <row r="79" spans="1:14" ht="14.4" x14ac:dyDescent="0.3"/>
  </sheetData>
  <protectedRanges>
    <protectedRange algorithmName="SHA-512" hashValue="NcQe0VjxFnxU9SziGkmWOoYUYoQ0T62vv+WqFE1sowJD2+jDiq1RKEMS6wObDPCk433k/JG1CTU3j62rwNOzdg==" saltValue="OlYFZTFPx5QDCqKlqXj8fw==" spinCount="100000" sqref="D42:L42 C36:E36 E32:F32 J36:K36 C41:I41 J24:K24 C21:I21 C13:K13 D12:L12 G25:I25 H24 C29:I29 H32:K32 J16:K16 C17:G17 I17 C33:H33 C40:K40 C32 C28:K28 C24:F25 C20:K20 C16 C37:I37" name="Range1_2_1_7"/>
    <protectedRange algorithmName="SHA-512" hashValue="NcQe0VjxFnxU9SziGkmWOoYUYoQ0T62vv+WqFE1sowJD2+jDiq1RKEMS6wObDPCk433k/JG1CTU3j62rwNOzdg==" saltValue="OlYFZTFPx5QDCqKlqXj8fw==" spinCount="100000" sqref="D16:G16 I16" name="Range1_2_1_7_1"/>
    <protectedRange algorithmName="SHA-512" hashValue="NcQe0VjxFnxU9SziGkmWOoYUYoQ0T62vv+WqFE1sowJD2+jDiq1RKEMS6wObDPCk433k/JG1CTU3j62rwNOzdg==" saltValue="OlYFZTFPx5QDCqKlqXj8fw==" spinCount="100000" sqref="D32" name="Range1_2_1_7_2"/>
    <protectedRange algorithmName="SHA-512" hashValue="NcQe0VjxFnxU9SziGkmWOoYUYoQ0T62vv+WqFE1sowJD2+jDiq1RKEMS6wObDPCk433k/JG1CTU3j62rwNOzdg==" saltValue="OlYFZTFPx5QDCqKlqXj8fw==" spinCount="100000" sqref="F36:H36" name="Range1_2_1_7_3"/>
  </protectedRanges>
  <mergeCells count="77">
    <mergeCell ref="C60:E60"/>
    <mergeCell ref="E47:J47"/>
    <mergeCell ref="E48:J48"/>
    <mergeCell ref="E49:J49"/>
    <mergeCell ref="E50:J50"/>
    <mergeCell ref="E51:J51"/>
    <mergeCell ref="E52:J52"/>
    <mergeCell ref="E53:J53"/>
    <mergeCell ref="E54:J54"/>
    <mergeCell ref="E55:J55"/>
    <mergeCell ref="E56:J56"/>
    <mergeCell ref="E57:J57"/>
    <mergeCell ref="E66:H66"/>
    <mergeCell ref="I66:L66"/>
    <mergeCell ref="E61:H61"/>
    <mergeCell ref="E62:H62"/>
    <mergeCell ref="I62:L62"/>
    <mergeCell ref="E63:H63"/>
    <mergeCell ref="I63:L63"/>
    <mergeCell ref="E64:H64"/>
    <mergeCell ref="I64:L64"/>
    <mergeCell ref="E65:H65"/>
    <mergeCell ref="I65:L65"/>
    <mergeCell ref="D34:J34"/>
    <mergeCell ref="E46:I46"/>
    <mergeCell ref="D38:J38"/>
    <mergeCell ref="J40:J41"/>
    <mergeCell ref="H36:I36"/>
    <mergeCell ref="H37:I37"/>
    <mergeCell ref="H35:I35"/>
    <mergeCell ref="L40:L41"/>
    <mergeCell ref="C45:E45"/>
    <mergeCell ref="J36:J37"/>
    <mergeCell ref="K36:K37"/>
    <mergeCell ref="L36:L37"/>
    <mergeCell ref="K40:K41"/>
    <mergeCell ref="K24:K25"/>
    <mergeCell ref="L24:L25"/>
    <mergeCell ref="D26:I26"/>
    <mergeCell ref="D30:J30"/>
    <mergeCell ref="J32:J33"/>
    <mergeCell ref="K32:K33"/>
    <mergeCell ref="L32:L33"/>
    <mergeCell ref="H31:I31"/>
    <mergeCell ref="H32:I32"/>
    <mergeCell ref="H29:I29"/>
    <mergeCell ref="H33:I33"/>
    <mergeCell ref="F24:G24"/>
    <mergeCell ref="H24:I24"/>
    <mergeCell ref="H28:I28"/>
    <mergeCell ref="H27:I27"/>
    <mergeCell ref="F25:G25"/>
    <mergeCell ref="J5:J9"/>
    <mergeCell ref="K5:L9"/>
    <mergeCell ref="F13:I13"/>
    <mergeCell ref="J28:J29"/>
    <mergeCell ref="K28:K29"/>
    <mergeCell ref="L28:L29"/>
    <mergeCell ref="D14:J14"/>
    <mergeCell ref="J16:J17"/>
    <mergeCell ref="K16:K17"/>
    <mergeCell ref="L16:L17"/>
    <mergeCell ref="D18:J18"/>
    <mergeCell ref="J20:J21"/>
    <mergeCell ref="K20:K21"/>
    <mergeCell ref="L20:L21"/>
    <mergeCell ref="D22:J22"/>
    <mergeCell ref="J24:J25"/>
    <mergeCell ref="F23:G23"/>
    <mergeCell ref="H23:I23"/>
    <mergeCell ref="H25:I25"/>
    <mergeCell ref="G16:H16"/>
    <mergeCell ref="G15:H15"/>
    <mergeCell ref="G17:H17"/>
    <mergeCell ref="F21:I21"/>
    <mergeCell ref="F20:I20"/>
    <mergeCell ref="F19:I19"/>
  </mergeCells>
  <conditionalFormatting sqref="J42:L42">
    <cfRule type="cellIs" dxfId="3" priority="8" operator="equal">
      <formula>100</formula>
    </cfRule>
  </conditionalFormatting>
  <conditionalFormatting sqref="K5">
    <cfRule type="containsText" dxfId="2" priority="5" operator="containsText" text="FAIL">
      <formula>NOT(ISERROR(SEARCH(("FAIL"),(K5))))</formula>
    </cfRule>
    <cfRule type="cellIs" dxfId="1" priority="6" operator="equal">
      <formula>"PASS"</formula>
    </cfRule>
    <cfRule type="cellIs" dxfId="0" priority="7" operator="equal">
      <formula>"M/O"</formula>
    </cfRule>
  </conditionalFormatting>
  <dataValidations count="9">
    <dataValidation type="list" allowBlank="1" showInputMessage="1" showErrorMessage="1" sqref="G29" xr:uid="{BE6E0420-2218-4805-9AC0-1F755A6679E6}">
      <formula1>"0,1,2,3"</formula1>
    </dataValidation>
    <dataValidation type="list" allowBlank="1" showInputMessage="1" showErrorMessage="1" sqref="E41 E17 E21 E25 E29 E37 E33" xr:uid="{22DA88BB-424B-4E26-BC8B-BC2F9E585B53}">
      <formula1>"yes,no"</formula1>
    </dataValidation>
    <dataValidation type="list" allowBlank="1" showInputMessage="1" showErrorMessage="1" sqref="F17 H33:I33 F37:G37" xr:uid="{5A14E42F-FBCF-4011-9F6B-F0533094E918}">
      <formula1>"0,1,2,3,4,5,6"</formula1>
    </dataValidation>
    <dataValidation type="list" allowBlank="1" showInputMessage="1" showErrorMessage="1" sqref="G17:H17 F21:I21" xr:uid="{81BB03E7-DEE0-4BAC-ABCF-818B7FF26DB9}">
      <formula1>"0,1,2,3,4,5,6,7,8,9,10"</formula1>
    </dataValidation>
    <dataValidation type="list" allowBlank="1" showInputMessage="1" showErrorMessage="1" sqref="I17 F33 H41 I41" xr:uid="{7D719724-029A-4A84-B10A-8116D73A1A0C}">
      <formula1>"0,1,2,3,4"</formula1>
    </dataValidation>
    <dataValidation type="list" allowBlank="1" showInputMessage="1" showErrorMessage="1" sqref="H25:I25 F25:G25" xr:uid="{B772CF7C-FAA4-4AB4-A127-68C433722539}">
      <formula1>"0,1,2,3,4,5,6,7"</formula1>
    </dataValidation>
    <dataValidation type="list" allowBlank="1" showInputMessage="1" showErrorMessage="1" sqref="F29 F41" xr:uid="{3FC9AC2C-808D-4F82-8078-C2F7C38C8968}">
      <formula1>"0,1,2"</formula1>
    </dataValidation>
    <dataValidation type="list" allowBlank="1" showInputMessage="1" showErrorMessage="1" sqref="H29:I29 G33 G41" xr:uid="{502CDD91-1B0F-4F7E-990E-6C51CB8A3310}">
      <formula1>"0,1,2,3,4,5"</formula1>
    </dataValidation>
    <dataValidation type="list" allowBlank="1" showInputMessage="1" showErrorMessage="1" sqref="H37:I37" xr:uid="{43700A77-0505-48A1-9784-44ADB4FB8893}">
      <formula1>"0,1,2,3,4,5,6,7,8"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F10AE-F077-47D8-9800-955D35B76009}">
  <ds:schemaRefs>
    <ds:schemaRef ds:uri="http://schemas.microsoft.com/sharepoint/v3/contenttype/forms"/>
  </ds:schemaRefs>
</ds:datastoreItem>
</file>

<file path=customXml/itemProps2.xml><?xml version="1.0" encoding="utf-8"?>
<ds:datastoreItem xmlns:ds="http://schemas.openxmlformats.org/officeDocument/2006/customXml" ds:itemID="{0AF36F1F-231E-4C70-9638-B9BB082E34B9}">
  <ds:schemaRefs>
    <ds:schemaRef ds:uri="http://schemas.microsoft.com/office/2006/metadata/properties"/>
    <ds:schemaRef ds:uri="http://schemas.microsoft.com/office/infopath/2007/PartnerControls"/>
    <ds:schemaRef ds:uri="5ff92c65-ed86-4457-baee-ccd535c9ea21"/>
    <ds:schemaRef ds:uri="6c8d291c-a5bf-4049-930d-38db8e991d8e"/>
  </ds:schemaRefs>
</ds:datastoreItem>
</file>

<file path=customXml/itemProps3.xml><?xml version="1.0" encoding="utf-8"?>
<ds:datastoreItem xmlns:ds="http://schemas.openxmlformats.org/officeDocument/2006/customXml" ds:itemID="{8A45033E-4559-4C88-9285-A7DB958BB9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m.jaberi14979@gmail.com</cp:lastModifiedBy>
  <cp:revision/>
  <dcterms:created xsi:type="dcterms:W3CDTF">2024-09-16T12:30:14Z</dcterms:created>
  <dcterms:modified xsi:type="dcterms:W3CDTF">2025-06-20T12:27:20Z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xd_ProgID">
    <vt:lpwstr/>
  </property>
  <property fmtid="{D5CDD505-2E9C-101B-9397-08002B2CF9AE}" pid="4" name="MediaServiceImageTags">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