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sus\Desktop\Block D\"/>
    </mc:Choice>
  </mc:AlternateContent>
  <xr:revisionPtr revIDLastSave="0" documentId="13_ncr:1_{A405EEB3-471F-4565-B4A9-BA02E559C080}" xr6:coauthVersionLast="47" xr6:coauthVersionMax="47" xr10:uidLastSave="{00000000-0000-0000-0000-000000000000}"/>
  <bookViews>
    <workbookView xWindow="-96" yWindow="0" windowWidth="11712" windowHeight="12336" activeTab="1" xr2:uid="{00000000-000D-0000-FFFF-FFFF00000000}"/>
  </bookViews>
  <sheets>
    <sheet name="Worklog_Tasks&amp;Times" sheetId="1" r:id="rId1"/>
    <sheet name="Overview" sheetId="2" r:id="rId2"/>
    <sheet name="Drop-downs" sheetId="3" state="hidden" r:id="rId3"/>
  </sheets>
  <definedNames>
    <definedName name="_xlnm._FilterDatabase" localSheetId="0" hidden="1">'Worklog_Tasks&amp;Times'!$A$1:$J$17</definedName>
    <definedName name="_xlnm.Print_Area" localSheetId="0">'Worklog_Tasks&amp;Times'!$A$1:$J$104</definedName>
    <definedName name="Z_8BAC9A6B_5D32_4E8D_967D_E17D357516F8_.wvu.FilterData" localSheetId="0" hidden="1">'Worklog_Tasks&amp;Times'!$A$1:$J$17</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 r="I15" i="1"/>
  <c r="H101" i="1"/>
  <c r="G101" i="1"/>
  <c r="H5" i="2" a="1"/>
  <c r="H5" i="2" s="1"/>
  <c r="I5" i="2" a="1"/>
  <c r="I5" i="2" s="1"/>
  <c r="J5" i="2" a="1"/>
  <c r="J5" i="2" s="1"/>
  <c r="H7" i="2" a="1"/>
  <c r="H7" i="2" s="1"/>
  <c r="F9" i="2" a="1"/>
  <c r="F9" i="2" s="1"/>
  <c r="I10" i="2" a="1"/>
  <c r="I10" i="2" s="1"/>
  <c r="J4" i="2" a="1"/>
  <c r="J4" i="2" s="1"/>
  <c r="I4" i="2" a="1"/>
  <c r="I4" i="2" s="1"/>
  <c r="H4" i="2" a="1"/>
  <c r="H4" i="2" s="1"/>
  <c r="F4" i="2" a="1"/>
  <c r="F4" i="2" s="1"/>
  <c r="E4" i="2" a="1"/>
  <c r="E4" i="2" s="1"/>
  <c r="D5" i="2" a="1"/>
  <c r="D5" i="2" s="1"/>
  <c r="D4" i="2" a="1"/>
  <c r="D4" i="2" s="1"/>
  <c r="C4" i="2" a="1"/>
  <c r="C4" i="2" s="1"/>
  <c r="B10" i="2"/>
  <c r="D10" i="2" s="1" a="1"/>
  <c r="D10" i="2" s="1"/>
  <c r="B9" i="2"/>
  <c r="E9" i="2" s="1" a="1"/>
  <c r="E9" i="2" s="1"/>
  <c r="B8" i="2"/>
  <c r="C8" i="2" s="1" a="1"/>
  <c r="C8" i="2" s="1"/>
  <c r="B7" i="2"/>
  <c r="E7" i="2" s="1" a="1"/>
  <c r="E7" i="2" s="1"/>
  <c r="B6" i="2"/>
  <c r="C6" i="2" s="1" a="1"/>
  <c r="C6" i="2" s="1"/>
  <c r="B5" i="2"/>
  <c r="F5" i="2" s="1" a="1"/>
  <c r="F5" i="2" s="1"/>
  <c r="B4" i="2"/>
  <c r="K3" i="2"/>
  <c r="B3" i="2"/>
  <c r="I100" i="1"/>
  <c r="I99" i="1"/>
  <c r="I98" i="1"/>
  <c r="I97" i="1"/>
  <c r="I96" i="1"/>
  <c r="I95" i="1"/>
  <c r="I94" i="1"/>
  <c r="I93" i="1"/>
  <c r="I92" i="1"/>
  <c r="I91" i="1"/>
  <c r="H87" i="1"/>
  <c r="G87" i="1"/>
  <c r="I86" i="1"/>
  <c r="I85" i="1"/>
  <c r="I84" i="1"/>
  <c r="I83" i="1"/>
  <c r="I82" i="1"/>
  <c r="I81" i="1"/>
  <c r="I80" i="1"/>
  <c r="I79" i="1"/>
  <c r="I78" i="1"/>
  <c r="I77" i="1"/>
  <c r="H73" i="1"/>
  <c r="G73" i="1"/>
  <c r="I72" i="1"/>
  <c r="I71" i="1"/>
  <c r="I70" i="1"/>
  <c r="I69" i="1"/>
  <c r="I68" i="1"/>
  <c r="I67" i="1"/>
  <c r="I66" i="1"/>
  <c r="I65" i="1"/>
  <c r="I64" i="1"/>
  <c r="I63" i="1"/>
  <c r="H59" i="1"/>
  <c r="G59" i="1"/>
  <c r="I58" i="1"/>
  <c r="I57" i="1"/>
  <c r="I56" i="1"/>
  <c r="I55" i="1"/>
  <c r="I54" i="1"/>
  <c r="I53" i="1"/>
  <c r="I52" i="1"/>
  <c r="I51" i="1"/>
  <c r="I50" i="1"/>
  <c r="I49" i="1"/>
  <c r="H45" i="1"/>
  <c r="G45" i="1"/>
  <c r="I44" i="1"/>
  <c r="I43" i="1"/>
  <c r="I42" i="1"/>
  <c r="I41" i="1"/>
  <c r="I40" i="1"/>
  <c r="I39" i="1"/>
  <c r="I38" i="1"/>
  <c r="I37" i="1"/>
  <c r="I36" i="1"/>
  <c r="I35" i="1"/>
  <c r="H31" i="1"/>
  <c r="G31" i="1"/>
  <c r="I30" i="1"/>
  <c r="I29" i="1"/>
  <c r="I28" i="1"/>
  <c r="I27" i="1"/>
  <c r="I26" i="1"/>
  <c r="I25" i="1"/>
  <c r="I24" i="1"/>
  <c r="I23" i="1"/>
  <c r="I22" i="1"/>
  <c r="I21" i="1"/>
  <c r="H17" i="1"/>
  <c r="G17" i="1"/>
  <c r="I16" i="1"/>
  <c r="I13" i="1"/>
  <c r="I12" i="1"/>
  <c r="I11" i="1"/>
  <c r="I10" i="1"/>
  <c r="I9" i="1"/>
  <c r="I8" i="1"/>
  <c r="I7" i="1"/>
  <c r="I6" i="1"/>
  <c r="I5" i="1"/>
  <c r="I101" i="1" l="1"/>
  <c r="G104" i="1"/>
  <c r="H104" i="1"/>
  <c r="I73" i="1"/>
  <c r="E10" i="2" a="1"/>
  <c r="E10" i="2" s="1"/>
  <c r="J10" i="2" a="1"/>
  <c r="J10" i="2" s="1"/>
  <c r="C10" i="2" a="1"/>
  <c r="C10" i="2" s="1"/>
  <c r="H10" i="2" a="1"/>
  <c r="H10" i="2" s="1"/>
  <c r="F10" i="2" a="1"/>
  <c r="F10" i="2" s="1"/>
  <c r="C9" i="2" a="1"/>
  <c r="C9" i="2" s="1"/>
  <c r="J9" i="2" a="1"/>
  <c r="J9" i="2" s="1"/>
  <c r="I9" i="2" a="1"/>
  <c r="I9" i="2" s="1"/>
  <c r="D9" i="2" a="1"/>
  <c r="D9" i="2" s="1"/>
  <c r="H9" i="2" a="1"/>
  <c r="H9" i="2" s="1"/>
  <c r="D8" i="2" a="1"/>
  <c r="D8" i="2" s="1"/>
  <c r="J8" i="2" a="1"/>
  <c r="J8" i="2" s="1"/>
  <c r="I8" i="2" a="1"/>
  <c r="I8" i="2" s="1"/>
  <c r="H8" i="2" a="1"/>
  <c r="H8" i="2" s="1"/>
  <c r="F8" i="2" a="1"/>
  <c r="F8" i="2" s="1"/>
  <c r="E8" i="2" a="1"/>
  <c r="E8" i="2" s="1"/>
  <c r="D7" i="2" a="1"/>
  <c r="D7" i="2" s="1"/>
  <c r="C7" i="2" a="1"/>
  <c r="C7" i="2" s="1"/>
  <c r="I7" i="2" a="1"/>
  <c r="I7" i="2" s="1"/>
  <c r="J7" i="2" a="1"/>
  <c r="J7" i="2" s="1"/>
  <c r="F7" i="2" a="1"/>
  <c r="F7" i="2" s="1"/>
  <c r="D6" i="2" a="1"/>
  <c r="D6" i="2" s="1"/>
  <c r="J6" i="2" a="1"/>
  <c r="J6" i="2" s="1"/>
  <c r="I6" i="2" a="1"/>
  <c r="I6" i="2" s="1"/>
  <c r="H6" i="2" a="1"/>
  <c r="H6" i="2" s="1"/>
  <c r="F6" i="2" a="1"/>
  <c r="F6" i="2" s="1"/>
  <c r="E6" i="2" a="1"/>
  <c r="E6" i="2" s="1"/>
  <c r="C5" i="2" a="1"/>
  <c r="C5" i="2" s="1"/>
  <c r="E5" i="2" a="1"/>
  <c r="E5" i="2" s="1"/>
  <c r="I17" i="1"/>
  <c r="I31" i="1"/>
  <c r="I45" i="1"/>
  <c r="I59" i="1"/>
  <c r="I87" i="1"/>
  <c r="I104" i="1" l="1"/>
  <c r="D11" i="2"/>
  <c r="H11" i="2"/>
  <c r="I11" i="2"/>
  <c r="J11" i="2"/>
  <c r="C11" i="2"/>
  <c r="F11" i="2"/>
  <c r="E11" i="2"/>
  <c r="G8" i="2" a="1"/>
  <c r="G8" i="2" s="1"/>
  <c r="K8" i="2" s="1"/>
  <c r="G9" i="2" a="1"/>
  <c r="G9" i="2" s="1"/>
  <c r="K9" i="2" s="1"/>
  <c r="G5" i="2" a="1"/>
  <c r="G5" i="2" s="1"/>
  <c r="K5" i="2" s="1"/>
  <c r="G10" i="2" a="1"/>
  <c r="G10" i="2" s="1"/>
  <c r="K10" i="2" s="1"/>
  <c r="G7" i="2" a="1"/>
  <c r="G7" i="2" s="1"/>
  <c r="K7" i="2" s="1"/>
  <c r="G6" i="2" a="1"/>
  <c r="G6" i="2" s="1"/>
  <c r="K6" i="2" s="1"/>
  <c r="G4" i="2" a="1"/>
  <c r="G4" i="2" s="1"/>
  <c r="G11" i="2" l="1"/>
  <c r="K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<sst xmlns="http://schemas.openxmlformats.org/spreadsheetml/2006/main" count="462" uniqueCount="181">
  <si>
    <t>Date</t>
  </si>
  <si>
    <t>Status</t>
  </si>
  <si>
    <t>Task</t>
  </si>
  <si>
    <t>Description/Planning</t>
  </si>
  <si>
    <t>Task Type</t>
  </si>
  <si>
    <t>Most suited ILO</t>
  </si>
  <si>
    <t>Est Hours</t>
  </si>
  <si>
    <t>Actual Hours</t>
  </si>
  <si>
    <t>Diff</t>
  </si>
  <si>
    <t>Task reflection / notes</t>
  </si>
  <si>
    <t>Week 1</t>
  </si>
  <si>
    <t>week plan:</t>
  </si>
  <si>
    <t>- Weekplan item 1
- Weekplan item 2
- Weekplan item 3
- etc</t>
  </si>
  <si>
    <t>Known Risks</t>
  </si>
  <si>
    <t>[Enter known possible issues that are a risk for you to finish the high level week planning]</t>
  </si>
  <si>
    <t>Max 4 hours tasks</t>
  </si>
  <si>
    <t>Total Hours</t>
  </si>
  <si>
    <t>Week 2</t>
  </si>
  <si>
    <t>[Enter known possible issues that are a risk for you to finish the high level week planning] - if any</t>
  </si>
  <si>
    <t>Week 3</t>
  </si>
  <si>
    <t xml:space="preserve">Week 4 </t>
  </si>
  <si>
    <t xml:space="preserve">Week 5 </t>
  </si>
  <si>
    <t xml:space="preserve">Week 6 </t>
  </si>
  <si>
    <t>Week 7</t>
  </si>
  <si>
    <t>Total hours this block</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</si>
  <si>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</si>
  <si>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</si>
  <si>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</si>
  <si>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</si>
  <si>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</si>
  <si>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</si>
  <si>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</si>
  <si>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</si>
  <si>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</si>
  <si>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</si>
  <si>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</si>
  <si>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</si>
  <si>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t>Task Status</t>
  </si>
  <si>
    <t>ILO selection</t>
  </si>
  <si>
    <t>-</t>
  </si>
  <si>
    <t>Planned</t>
  </si>
  <si>
    <t>Design</t>
  </si>
  <si>
    <t>Unplanned</t>
  </si>
  <si>
    <t>Meeting</t>
  </si>
  <si>
    <t>Blocked</t>
  </si>
  <si>
    <t>Programming</t>
  </si>
  <si>
    <t>In-Progress</t>
  </si>
  <si>
    <t>Research</t>
  </si>
  <si>
    <t>Done</t>
  </si>
  <si>
    <t>Testing</t>
  </si>
  <si>
    <t>Delayed</t>
  </si>
  <si>
    <t>Workshop</t>
  </si>
  <si>
    <t>Cancelled</t>
  </si>
  <si>
    <t>Planning</t>
  </si>
  <si>
    <t>Evidencing</t>
  </si>
  <si>
    <t>Debugging</t>
  </si>
  <si>
    <t>Lecture</t>
  </si>
  <si>
    <t>Study</t>
  </si>
  <si>
    <t>Distraction</t>
  </si>
  <si>
    <t>Break</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</si>
  <si>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</si>
  <si>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ILO 1.3</t>
  </si>
  <si>
    <t>ILO 2.3</t>
  </si>
  <si>
    <t>ILO 3.2</t>
  </si>
  <si>
    <t>ILO 4.1</t>
  </si>
  <si>
    <t>ILO 6.2</t>
  </si>
  <si>
    <t>ILO 8.2</t>
  </si>
  <si>
    <t>ILO 9.1</t>
  </si>
  <si>
    <t>Kick of lecture</t>
  </si>
  <si>
    <t>Kick of lecture about block D</t>
  </si>
  <si>
    <t>Datacamp</t>
  </si>
  <si>
    <t>Datacamp Introduction to SQL</t>
  </si>
  <si>
    <t xml:space="preserve">Data lab </t>
  </si>
  <si>
    <t>Reading data lab task</t>
  </si>
  <si>
    <t>Reading data lab content and trying to undrestand better stock market through watching some youtube video.</t>
  </si>
  <si>
    <t>Reading a datalab content</t>
  </si>
  <si>
    <t>Getting information about Data warehouse and scheme design.</t>
  </si>
  <si>
    <t>Data camp</t>
  </si>
  <si>
    <t>Data Warehouse basics course from Datacamp</t>
  </si>
  <si>
    <t>Getting information about difference of database and data warehouse.</t>
  </si>
  <si>
    <t xml:space="preserve">Datacamp course </t>
  </si>
  <si>
    <t>About SQL and how to manage the data in sql</t>
  </si>
  <si>
    <t>Datalab task</t>
  </si>
  <si>
    <t>Datacamp course about sql</t>
  </si>
  <si>
    <t xml:space="preserve">SQL upskilling </t>
  </si>
  <si>
    <t>It was about database design</t>
  </si>
  <si>
    <t>practicing sql on datalab task</t>
  </si>
  <si>
    <t>practicing sql and learning new skill.</t>
  </si>
  <si>
    <t xml:space="preserve">SQL </t>
  </si>
  <si>
    <t>Practicing sql which it was easy till level 3 but in level 4 I had some problem to solve it.</t>
  </si>
  <si>
    <t>Individual Idea</t>
  </si>
  <si>
    <t>Data Warehouse</t>
  </si>
  <si>
    <t xml:space="preserve">visiting data warehouse to be familiar with data </t>
  </si>
  <si>
    <t>Stockmarket</t>
  </si>
  <si>
    <t>Stock market Nasdaq</t>
  </si>
  <si>
    <t xml:space="preserve">watching some video to get familiar with stock and stock market </t>
  </si>
  <si>
    <t xml:space="preserve">Working on my Individual Idea </t>
  </si>
  <si>
    <t>Working to find some indiviual Idea</t>
  </si>
  <si>
    <t>reading the datalab task and contents.</t>
  </si>
  <si>
    <t>Time series</t>
  </si>
  <si>
    <t>Busines model canvas</t>
  </si>
  <si>
    <t>Getting familiar to how can I fill the business model canvas.</t>
  </si>
  <si>
    <t>Legal frame work</t>
  </si>
  <si>
    <t xml:space="preserve">Trying to complete legal frame work template </t>
  </si>
  <si>
    <t>Trying to complete it and also check with Zhana</t>
  </si>
  <si>
    <t>Checking with Zhana and changing the refrences model.</t>
  </si>
  <si>
    <t xml:space="preserve">Visualising time series </t>
  </si>
  <si>
    <t>Reading all the datalab content and also practicing them in VS code to learn it better.</t>
  </si>
  <si>
    <t xml:space="preserve">Reading and practicing </t>
  </si>
  <si>
    <t>Visulising time series data in python</t>
  </si>
  <si>
    <t>Time series analysis in python</t>
  </si>
  <si>
    <t>Datalab content</t>
  </si>
  <si>
    <t>Arima modeling</t>
  </si>
  <si>
    <t>Start working on Time series template</t>
  </si>
  <si>
    <t>Continue working on time series tempate</t>
  </si>
  <si>
    <t>Time series template</t>
  </si>
  <si>
    <t>Start practicing on time series template</t>
  </si>
  <si>
    <t xml:space="preserve">Start practicing time series part on template </t>
  </si>
  <si>
    <t>Individual  Idea</t>
  </si>
  <si>
    <t>Making busines model canvas</t>
  </si>
  <si>
    <t xml:space="preserve">final search and tought about my final Indivudual idea </t>
  </si>
  <si>
    <t xml:space="preserve">Time series template </t>
  </si>
  <si>
    <t xml:space="preserve">Start filling the time series template </t>
  </si>
  <si>
    <t xml:space="preserve">presentation </t>
  </si>
  <si>
    <t>preparing for presenting the individual Idea</t>
  </si>
  <si>
    <t>Going through datalab content</t>
  </si>
  <si>
    <t>Youtube video</t>
  </si>
  <si>
    <t>Watching youtube video about RNN and LSTM</t>
  </si>
  <si>
    <t>Datalab</t>
  </si>
  <si>
    <t>Start woorking on Machine learning part of Time series template</t>
  </si>
  <si>
    <t xml:space="preserve">Implementing machine learning model on time series template </t>
  </si>
  <si>
    <t xml:space="preserve">Evidencing </t>
  </si>
  <si>
    <t xml:space="preserve">Evidencing on worklog and learning log </t>
  </si>
  <si>
    <t xml:space="preserve">Group Idea </t>
  </si>
  <si>
    <t>Preparing our note about the finnal Group idea</t>
  </si>
  <si>
    <t>Final team idea</t>
  </si>
  <si>
    <t>Developing final team idea</t>
  </si>
  <si>
    <t>GDPR template</t>
  </si>
  <si>
    <t>Preparing the final GDPR for the  final team Idea</t>
  </si>
  <si>
    <t>Data</t>
  </si>
  <si>
    <t>working on dataware house and find a good dataset</t>
  </si>
  <si>
    <t>finding a good dataset or stock which it has a less missing values.</t>
  </si>
  <si>
    <t>Team work</t>
  </si>
  <si>
    <t>Start working as a team find a good model for our project</t>
  </si>
  <si>
    <t>Starting EDA on our dataset and give some feedback</t>
  </si>
  <si>
    <t>To find a missing value and look at the chart to find out is a good dataset for our project or not yet</t>
  </si>
  <si>
    <t>Working on Legal risk</t>
  </si>
  <si>
    <t xml:space="preserve">Working on Legal risk pdf and make it ready </t>
  </si>
  <si>
    <t>making database for our project</t>
  </si>
  <si>
    <t>Giving feedback to our peers to change or ad something on it.</t>
  </si>
  <si>
    <t>Machine learning</t>
  </si>
  <si>
    <t>implement different model of machine learning</t>
  </si>
  <si>
    <t xml:space="preserve">Datalab </t>
  </si>
  <si>
    <t>EDA</t>
  </si>
  <si>
    <t>Start doing EDA on our data source</t>
  </si>
  <si>
    <t xml:space="preserve">Starting doing EDA to see how is our dataset </t>
  </si>
  <si>
    <t>For this week I tried to implement 3 model of machine learning and always changing some parameters to get a better accuracy and result.</t>
  </si>
  <si>
    <t>Searching to find some other project same as our project to find out which model they trained.</t>
  </si>
  <si>
    <t>Searching to find other model of training and give some example t how they did this.</t>
  </si>
  <si>
    <t>Hypermeter tuning</t>
  </si>
  <si>
    <t>Gridsearch and feature extraction</t>
  </si>
  <si>
    <t>Class weigh</t>
  </si>
  <si>
    <t xml:space="preserve">Trying to use Smote and compute class weight </t>
  </si>
  <si>
    <t>Trying to use Smote and compute class weight to balance our imbalance data</t>
  </si>
  <si>
    <t>review it and submit it</t>
  </si>
  <si>
    <t xml:space="preserve">Changing target and feature </t>
  </si>
  <si>
    <t>checking the other way to find a target with using more feature</t>
  </si>
  <si>
    <t>Find the best model</t>
  </si>
  <si>
    <t>comparing and find a best model out of my models that I implement it.</t>
  </si>
  <si>
    <t xml:space="preserve">Implement NFT model </t>
  </si>
  <si>
    <t>I tried to test the nft model but unfortunately I didn't get a good result.</t>
  </si>
  <si>
    <t xml:space="preserve">Checking SQL practice work and make it ready for uploading </t>
  </si>
  <si>
    <t>Checking time series template and make it ready to submit</t>
  </si>
  <si>
    <t xml:space="preserve">Done </t>
  </si>
  <si>
    <t xml:space="preserve">Checking the final Hypermeter tuning </t>
  </si>
  <si>
    <t>Making slides for the presentation</t>
  </si>
  <si>
    <t>Making my oral script for presentation</t>
  </si>
  <si>
    <t>Changing samething in presentation and add more detail to it</t>
  </si>
  <si>
    <t xml:space="preserve">Making ready for submision </t>
  </si>
  <si>
    <t xml:space="preserve">Peer feedback </t>
  </si>
  <si>
    <t>Giving feedback to my peers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</si>
</sst>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2"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i/>
      <sz val="10"/>
      <color rgb="FF000000"/>
      <name val="Calibri"/>
      <family val="2"/>
    </font>
    <font>
      <b/>
      <sz val="10"/>
      <name val="Arial"/>
      <family val="2"/>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65">
    <xf numFmtId="0" fontId="0" fillId="0" borderId="0" xfId="0"/>
    <xf numFmtId="0" fontId="1" fillId="2" borderId="0" xfId="0" applyFont="1" applyFill="1"/>
    <xf numFmtId="0" fontId="2" fillId="0" borderId="2" xfId="0" applyFont="1" applyBorder="1" applyAlignment="1">
      <alignment horizontal="center"/>
    </xf>
    <xf numFmtId="0" fontId="3" fillId="2" borderId="0" xfId="0" applyFont="1" applyFill="1" applyAlignment="1">
      <alignment wrapText="1"/>
    </xf>
    <xf numFmtId="0" fontId="2" fillId="0" borderId="1" xfId="0" applyFont="1" applyBorder="1" applyAlignment="1">
      <alignment horizontal="center"/>
    </xf>
    <xf numFmtId="0" fontId="3" fillId="2" borderId="0" xfId="0" applyFont="1" applyFill="1" applyAlignment="1">
      <alignment horizontal="center" wrapText="1"/>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9" fillId="0" borderId="0" xfId="0" applyFont="1" applyAlignment="1">
      <alignment vertical="top"/>
    </xf>
    <xf numFmtId="0" fontId="8" fillId="0" borderId="0" xfId="0" applyFont="1" applyAlignment="1">
      <alignment horizontal="center" vertical="top"/>
    </xf>
    <xf numFmtId="0" fontId="6" fillId="5" borderId="0" xfId="0" applyFont="1" applyFill="1" applyAlignment="1">
      <alignment horizontal="center" vertical="top"/>
    </xf>
    <xf numFmtId="0" fontId="8" fillId="0" borderId="0" xfId="0" applyFont="1" applyAlignment="1">
      <alignment vertical="top" wrapText="1"/>
    </xf>
    <xf numFmtId="0" fontId="2" fillId="0" borderId="1" xfId="0" applyFont="1" applyBorder="1"/>
    <xf numFmtId="0" fontId="2" fillId="0" borderId="2" xfId="0" applyFont="1" applyBorder="1" applyAlignment="1">
      <alignment horizontal="center" vertical="top"/>
    </xf>
    <xf numFmtId="165" fontId="8" fillId="0" borderId="7" xfId="0" applyNumberFormat="1" applyFont="1" applyBorder="1" applyAlignment="1">
      <alignment vertical="top"/>
    </xf>
    <xf numFmtId="0" fontId="2" fillId="0" borderId="1" xfId="0" applyFont="1" applyBorder="1" applyAlignment="1">
      <alignment horizontal="center" vertical="top"/>
    </xf>
    <xf numFmtId="0" fontId="8" fillId="0" borderId="7" xfId="0" applyFont="1" applyBorder="1" applyAlignment="1">
      <alignment vertical="top"/>
    </xf>
    <xf numFmtId="0" fontId="6" fillId="0" borderId="0" xfId="0" applyFont="1"/>
    <xf numFmtId="0" fontId="6" fillId="0" borderId="0" xfId="0" applyFont="1" applyAlignment="1">
      <alignment horizontal="center"/>
    </xf>
    <xf numFmtId="0" fontId="8" fillId="0" borderId="7" xfId="0" applyFont="1" applyBorder="1" applyAlignment="1">
      <alignment horizontal="right" vertical="top"/>
    </xf>
    <xf numFmtId="0" fontId="4" fillId="8" borderId="1" xfId="0" applyFont="1" applyFill="1" applyBorder="1" applyAlignment="1">
      <alignment vertical="center" wrapText="1"/>
    </xf>
    <xf numFmtId="166" fontId="8" fillId="0" borderId="0" xfId="0" applyNumberFormat="1" applyFont="1" applyAlignment="1">
      <alignment horizontal="right" vertical="top"/>
    </xf>
    <xf numFmtId="0" fontId="8" fillId="0" borderId="0" xfId="0" applyFont="1" applyAlignment="1">
      <alignment vertical="top"/>
    </xf>
    <xf numFmtId="0" fontId="8" fillId="0" borderId="0" xfId="0" applyFont="1" applyAlignment="1">
      <alignment horizontal="right" vertical="top"/>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164" fontId="8" fillId="0" borderId="0" xfId="0" applyNumberFormat="1" applyFont="1" applyAlignment="1">
      <alignment horizontal="right" vertical="top"/>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5" fillId="0" borderId="0" xfId="0" applyFont="1" applyAlignment="1">
      <alignment horizontal="right"/>
    </xf>
    <xf numFmtId="0" fontId="8" fillId="0" borderId="0" xfId="0" applyFont="1"/>
    <xf numFmtId="0" fontId="8" fillId="0" borderId="0" xfId="0" applyFont="1" applyAlignment="1">
      <alignment horizontal="right"/>
    </xf>
    <xf numFmtId="0" fontId="4" fillId="8" borderId="3" xfId="0" applyFont="1" applyFill="1" applyBorder="1" applyAlignment="1">
      <alignment vertical="center" wrapText="1"/>
    </xf>
    <xf numFmtId="0" fontId="8" fillId="14" borderId="7" xfId="0" applyFont="1" applyFill="1" applyBorder="1" applyAlignment="1">
      <alignment horizontal="right" vertical="top"/>
    </xf>
    <xf numFmtId="0" fontId="5" fillId="14" borderId="0" xfId="0" applyFont="1" applyFill="1" applyAlignment="1">
      <alignment horizontal="right"/>
    </xf>
    <xf numFmtId="0" fontId="7" fillId="13" borderId="5" xfId="0" applyFont="1" applyFill="1" applyBorder="1" applyAlignment="1">
      <alignment vertical="center"/>
    </xf>
    <xf numFmtId="0" fontId="5" fillId="0" borderId="2" xfId="0" applyFont="1" applyBorder="1"/>
    <xf numFmtId="0" fontId="5" fillId="0" borderId="6" xfId="0" applyFont="1" applyBorder="1"/>
    <xf numFmtId="0" fontId="4" fillId="12" borderId="5" xfId="0" applyFont="1" applyFill="1" applyBorder="1" applyAlignment="1">
      <alignment vertical="center" wrapText="1"/>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7" fillId="10" borderId="5" xfId="0" applyFont="1" applyFill="1" applyBorder="1" applyAlignment="1">
      <alignment vertical="center"/>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4" fillId="3" borderId="3" xfId="0" applyFont="1" applyFill="1" applyBorder="1" applyAlignment="1">
      <alignment horizontal="left" vertical="center" wrapText="1"/>
    </xf>
    <xf numFmtId="0" fontId="5" fillId="0" borderId="3" xfId="0" applyFont="1" applyBorder="1"/>
    <xf numFmtId="0" fontId="7" fillId="3" borderId="5" xfId="0" applyFont="1" applyFill="1" applyBorder="1" applyAlignment="1">
      <alignment vertical="center"/>
    </xf>
    <xf numFmtId="0" fontId="4" fillId="8" borderId="3" xfId="0" applyFont="1" applyFill="1" applyBorder="1" applyAlignment="1">
      <alignment vertical="center" wrapText="1"/>
    </xf>
    <xf numFmtId="0" fontId="5" fillId="7" borderId="0" xfId="0" applyFont="1" applyFill="1" applyAlignment="1">
      <alignment horizontal="center" vertical="center" wrapText="1"/>
    </xf>
    <xf numFmtId="0" fontId="10" fillId="6" borderId="0" xfId="0" applyFont="1" applyFill="1" applyAlignment="1">
      <alignment vertical="top" wrapText="1"/>
    </xf>
    <xf numFmtId="0" fontId="0" fillId="0" borderId="0" xfId="0"/>
  </cellXfs>
  <cellStyles count="1">
    <cellStyle name="Normal" xfId="0" builtinId="0"/>
  </cellStyles>
  <dxfs count="11">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J104"/>
  <sheetViews>
    <sheetView topLeftCell="D1" zoomScaleNormal="100" workbookViewId="0">
      <pane ySplit="1" topLeftCell="A86" activePane="bottomLeft" state="frozen"/>
      <selection pane="bottomLeft" activeCell="F82" sqref="F82"/>
    </sheetView>
  </sheetViews>
  <sheetFormatPr defaultColWidth="14.44140625" defaultRowHeight="15" customHeight="1" x14ac:dyDescent="0.25"/>
  <cols>
    <col min="1" max="1" width="9.77734375" customWidth="1"/>
    <col min="2" max="2" width="11.33203125" customWidth="1"/>
    <col min="3" max="3" width="16.33203125" customWidth="1"/>
    <col min="4" max="4" width="43.44140625" customWidth="1"/>
    <col min="5" max="6" width="15.44140625" customWidth="1"/>
    <col min="7" max="7" width="8.6640625" customWidth="1"/>
    <col min="8" max="8" width="8.44140625" customWidth="1"/>
    <col min="9" max="9" width="6.44140625" customWidth="1"/>
    <col min="10" max="10" width="81.33203125" customWidth="1"/>
  </cols>
  <sheetData>
    <row r="1" spans="1:10" ht="24" x14ac:dyDescent="0.25">
      <c r="A1" s="3" t="s">
        <v>0</v>
      </c>
      <c r="B1" s="3" t="s">
        <v>1</v>
      </c>
      <c r="C1" s="3" t="s">
        <v>2</v>
      </c>
      <c r="D1" s="3" t="s">
        <v>3</v>
      </c>
      <c r="E1" s="5" t="s">
        <v>4</v>
      </c>
      <c r="F1" s="5" t="s">
        <v>5</v>
      </c>
      <c r="G1" s="5" t="s">
        <v>6</v>
      </c>
      <c r="H1" s="5" t="s">
        <v>7</v>
      </c>
      <c r="I1" s="5" t="s">
        <v>8</v>
      </c>
      <c r="J1" s="3" t="s">
        <v>9</v>
      </c>
    </row>
    <row r="2" spans="1:10" ht="18.75" customHeight="1" x14ac:dyDescent="0.25">
      <c r="A2" s="58" t="s">
        <v>10</v>
      </c>
      <c r="B2" s="59"/>
      <c r="C2" s="59"/>
      <c r="D2" s="59"/>
      <c r="E2" s="59"/>
      <c r="F2" s="59"/>
      <c r="G2" s="59"/>
      <c r="H2" s="59"/>
      <c r="I2" s="59"/>
      <c r="J2" s="59"/>
    </row>
    <row r="3" spans="1:10" ht="13.2" x14ac:dyDescent="0.25">
      <c r="A3" s="7" t="s">
        <v>11</v>
      </c>
      <c r="B3" s="60" t="s">
        <v>12</v>
      </c>
      <c r="C3" s="46"/>
      <c r="D3" s="46"/>
      <c r="E3" s="46"/>
      <c r="F3" s="46"/>
      <c r="G3" s="46"/>
      <c r="H3" s="46"/>
      <c r="I3" s="46"/>
      <c r="J3" s="47"/>
    </row>
    <row r="4" spans="1:10" ht="27.75" customHeight="1" x14ac:dyDescent="0.25">
      <c r="A4" s="10" t="s">
        <v>13</v>
      </c>
      <c r="B4" s="60" t="s">
        <v>14</v>
      </c>
      <c r="C4" s="46"/>
      <c r="D4" s="46"/>
      <c r="E4" s="46"/>
      <c r="F4" s="46"/>
      <c r="G4" s="46"/>
      <c r="H4" s="46"/>
      <c r="I4" s="46"/>
      <c r="J4" s="47"/>
    </row>
    <row r="5" spans="1:10" ht="13.2" x14ac:dyDescent="0.25">
      <c r="A5" s="30">
        <v>45783</v>
      </c>
      <c r="B5" s="26" t="s">
        <v>48</v>
      </c>
      <c r="C5" s="12" t="s">
        <v>68</v>
      </c>
      <c r="D5" s="26" t="s">
        <v>69</v>
      </c>
      <c r="E5" s="13" t="s">
        <v>56</v>
      </c>
      <c r="F5" s="13" t="s">
        <v>61</v>
      </c>
      <c r="G5" s="27">
        <v>4</v>
      </c>
      <c r="H5" s="27">
        <v>4</v>
      </c>
      <c r="I5" s="27">
        <f t="shared" ref="I5:I17" si="0">H5-G5</f>
        <v>0</v>
      </c>
      <c r="J5" s="26"/>
    </row>
    <row r="6" spans="1:10" ht="13.2" x14ac:dyDescent="0.25">
      <c r="A6" s="30">
        <v>45783</v>
      </c>
      <c r="B6" s="26" t="s">
        <v>48</v>
      </c>
      <c r="C6" s="12" t="s">
        <v>70</v>
      </c>
      <c r="D6" s="26" t="s">
        <v>71</v>
      </c>
      <c r="E6" s="13" t="s">
        <v>57</v>
      </c>
      <c r="F6" s="13" t="s">
        <v>65</v>
      </c>
      <c r="G6" s="27">
        <v>1</v>
      </c>
      <c r="H6" s="27">
        <v>1</v>
      </c>
      <c r="I6" s="27">
        <f t="shared" si="0"/>
        <v>0</v>
      </c>
      <c r="J6" s="15"/>
    </row>
    <row r="7" spans="1:10" ht="13.2" x14ac:dyDescent="0.25">
      <c r="A7" s="30">
        <v>45783</v>
      </c>
      <c r="B7" s="26" t="s">
        <v>48</v>
      </c>
      <c r="C7" s="12" t="s">
        <v>72</v>
      </c>
      <c r="D7" s="26" t="s">
        <v>73</v>
      </c>
      <c r="E7" s="13" t="s">
        <v>57</v>
      </c>
      <c r="F7" s="13" t="s">
        <v>65</v>
      </c>
      <c r="G7" s="27">
        <v>4</v>
      </c>
      <c r="H7" s="27">
        <v>3</v>
      </c>
      <c r="I7" s="27">
        <f t="shared" si="0"/>
        <v>-1</v>
      </c>
      <c r="J7" s="15" t="s">
        <v>74</v>
      </c>
    </row>
    <row r="8" spans="1:10" ht="13.2" x14ac:dyDescent="0.25">
      <c r="A8" s="30">
        <v>45695</v>
      </c>
      <c r="B8" s="26" t="s">
        <v>48</v>
      </c>
      <c r="C8" s="12" t="s">
        <v>72</v>
      </c>
      <c r="D8" s="26" t="s">
        <v>75</v>
      </c>
      <c r="E8" s="13" t="s">
        <v>57</v>
      </c>
      <c r="F8" s="13"/>
      <c r="G8" s="27">
        <v>2</v>
      </c>
      <c r="H8" s="27">
        <v>2</v>
      </c>
      <c r="I8" s="27">
        <f t="shared" si="0"/>
        <v>0</v>
      </c>
      <c r="J8" s="15" t="s">
        <v>76</v>
      </c>
    </row>
    <row r="9" spans="1:10" ht="13.2" x14ac:dyDescent="0.25">
      <c r="A9" s="30">
        <v>45784</v>
      </c>
      <c r="B9" s="26" t="s">
        <v>48</v>
      </c>
      <c r="C9" s="12" t="s">
        <v>77</v>
      </c>
      <c r="D9" s="26" t="s">
        <v>78</v>
      </c>
      <c r="E9" s="13" t="s">
        <v>57</v>
      </c>
      <c r="F9" s="13" t="s">
        <v>65</v>
      </c>
      <c r="G9" s="27">
        <v>3</v>
      </c>
      <c r="H9" s="27">
        <v>3</v>
      </c>
      <c r="I9" s="27">
        <f t="shared" si="0"/>
        <v>0</v>
      </c>
      <c r="J9" s="15" t="s">
        <v>79</v>
      </c>
    </row>
    <row r="10" spans="1:10" ht="13.2" x14ac:dyDescent="0.25">
      <c r="A10" s="30">
        <v>45784</v>
      </c>
      <c r="B10" s="26" t="s">
        <v>48</v>
      </c>
      <c r="C10" s="12" t="s">
        <v>80</v>
      </c>
      <c r="D10" s="26" t="s">
        <v>83</v>
      </c>
      <c r="E10" s="13" t="s">
        <v>57</v>
      </c>
      <c r="F10" s="13" t="s">
        <v>65</v>
      </c>
      <c r="G10" s="27">
        <v>3</v>
      </c>
      <c r="H10" s="27">
        <v>3</v>
      </c>
      <c r="I10" s="27">
        <f t="shared" si="0"/>
        <v>0</v>
      </c>
      <c r="J10" s="15" t="s">
        <v>81</v>
      </c>
    </row>
    <row r="11" spans="1:10" ht="13.2" x14ac:dyDescent="0.25">
      <c r="A11" s="30">
        <v>45785</v>
      </c>
      <c r="B11" s="26" t="s">
        <v>48</v>
      </c>
      <c r="C11" s="12" t="s">
        <v>82</v>
      </c>
      <c r="D11" s="26" t="s">
        <v>84</v>
      </c>
      <c r="E11" s="13" t="s">
        <v>57</v>
      </c>
      <c r="F11" s="13" t="s">
        <v>65</v>
      </c>
      <c r="G11" s="27">
        <v>2</v>
      </c>
      <c r="H11" s="27">
        <v>2</v>
      </c>
      <c r="I11" s="27">
        <f t="shared" si="0"/>
        <v>0</v>
      </c>
      <c r="J11" s="15" t="s">
        <v>85</v>
      </c>
    </row>
    <row r="12" spans="1:10" ht="13.2" x14ac:dyDescent="0.25">
      <c r="A12" s="30">
        <v>45785</v>
      </c>
      <c r="B12" s="26" t="s">
        <v>48</v>
      </c>
      <c r="C12" s="12" t="s">
        <v>82</v>
      </c>
      <c r="D12" s="26" t="s">
        <v>86</v>
      </c>
      <c r="E12" s="13" t="s">
        <v>45</v>
      </c>
      <c r="F12" s="13" t="s">
        <v>65</v>
      </c>
      <c r="G12" s="27">
        <v>1</v>
      </c>
      <c r="H12" s="27">
        <v>1</v>
      </c>
      <c r="I12" s="27">
        <f t="shared" si="0"/>
        <v>0</v>
      </c>
      <c r="J12" s="15" t="s">
        <v>87</v>
      </c>
    </row>
    <row r="13" spans="1:10" ht="13.2" x14ac:dyDescent="0.25">
      <c r="A13" s="30">
        <v>45786</v>
      </c>
      <c r="B13" s="26" t="s">
        <v>48</v>
      </c>
      <c r="C13" s="12" t="s">
        <v>88</v>
      </c>
      <c r="D13" s="26" t="s">
        <v>86</v>
      </c>
      <c r="E13" s="13" t="s">
        <v>45</v>
      </c>
      <c r="F13" s="13" t="s">
        <v>65</v>
      </c>
      <c r="G13" s="27">
        <v>4</v>
      </c>
      <c r="H13" s="27">
        <v>4</v>
      </c>
      <c r="I13" s="27">
        <f t="shared" si="0"/>
        <v>0</v>
      </c>
      <c r="J13" s="15" t="s">
        <v>89</v>
      </c>
    </row>
    <row r="14" spans="1:10" ht="13.2" x14ac:dyDescent="0.25">
      <c r="A14" s="30">
        <v>45787</v>
      </c>
      <c r="B14" s="26" t="s">
        <v>48</v>
      </c>
      <c r="C14" s="12" t="s">
        <v>90</v>
      </c>
      <c r="D14" s="26" t="s">
        <v>91</v>
      </c>
      <c r="E14" s="13" t="s">
        <v>47</v>
      </c>
      <c r="F14" s="13" t="s">
        <v>65</v>
      </c>
      <c r="G14" s="27">
        <v>4</v>
      </c>
      <c r="H14" s="27">
        <v>4</v>
      </c>
      <c r="I14" s="27">
        <f t="shared" si="0"/>
        <v>0</v>
      </c>
      <c r="J14" s="15" t="s">
        <v>92</v>
      </c>
    </row>
    <row r="15" spans="1:10" ht="13.2" x14ac:dyDescent="0.25">
      <c r="A15" s="30">
        <v>45787</v>
      </c>
      <c r="B15" s="26" t="s">
        <v>48</v>
      </c>
      <c r="C15" s="12" t="s">
        <v>93</v>
      </c>
      <c r="D15" s="26" t="s">
        <v>94</v>
      </c>
      <c r="E15" s="13" t="s">
        <v>47</v>
      </c>
      <c r="F15" s="13" t="s">
        <v>61</v>
      </c>
      <c r="G15" s="27">
        <v>4</v>
      </c>
      <c r="H15" s="27">
        <v>4</v>
      </c>
      <c r="I15" s="27">
        <f t="shared" si="0"/>
        <v>0</v>
      </c>
      <c r="J15" s="15" t="s">
        <v>95</v>
      </c>
    </row>
    <row r="16" spans="1:10" ht="13.2" x14ac:dyDescent="0.25">
      <c r="A16" s="30">
        <v>45788</v>
      </c>
      <c r="B16" s="26" t="s">
        <v>48</v>
      </c>
      <c r="C16" s="12" t="s">
        <v>90</v>
      </c>
      <c r="D16" s="26" t="s">
        <v>96</v>
      </c>
      <c r="E16" s="13" t="s">
        <v>47</v>
      </c>
      <c r="F16" s="13" t="s">
        <v>61</v>
      </c>
      <c r="G16" s="27">
        <v>4</v>
      </c>
      <c r="H16" s="27">
        <v>4</v>
      </c>
      <c r="I16" s="27">
        <f t="shared" si="0"/>
        <v>0</v>
      </c>
      <c r="J16" s="15" t="s">
        <v>97</v>
      </c>
    </row>
    <row r="17" spans="1:10" ht="13.2" x14ac:dyDescent="0.25">
      <c r="A17" s="18"/>
      <c r="B17" s="20"/>
      <c r="C17" s="20"/>
      <c r="D17" s="20"/>
      <c r="E17" s="20" t="s">
        <v>16</v>
      </c>
      <c r="F17" s="20"/>
      <c r="G17" s="23">
        <f t="shared" ref="G17:H17" si="1">SUM(G5:G16)</f>
        <v>36</v>
      </c>
      <c r="H17" s="23">
        <f t="shared" si="1"/>
        <v>35</v>
      </c>
      <c r="I17" s="23">
        <f t="shared" si="0"/>
        <v>-1</v>
      </c>
      <c r="J17" s="20"/>
    </row>
    <row r="18" spans="1:10" ht="18.75" customHeight="1" x14ac:dyDescent="0.25">
      <c r="A18" s="61" t="s">
        <v>17</v>
      </c>
      <c r="B18" s="59"/>
      <c r="C18" s="59"/>
      <c r="D18" s="59"/>
      <c r="E18" s="59"/>
      <c r="F18" s="59"/>
      <c r="G18" s="59"/>
      <c r="H18" s="59"/>
      <c r="I18" s="59"/>
      <c r="J18" s="59"/>
    </row>
    <row r="19" spans="1:10" ht="13.2" x14ac:dyDescent="0.25">
      <c r="A19" s="42" t="s">
        <v>11</v>
      </c>
      <c r="B19" s="54" t="s">
        <v>12</v>
      </c>
      <c r="C19" s="46"/>
      <c r="D19" s="46"/>
      <c r="E19" s="46"/>
      <c r="F19" s="46"/>
      <c r="G19" s="46"/>
      <c r="H19" s="46"/>
      <c r="I19" s="46"/>
      <c r="J19" s="47"/>
    </row>
    <row r="20" spans="1:10" ht="27.75" customHeight="1" x14ac:dyDescent="0.25">
      <c r="A20" s="24" t="s">
        <v>13</v>
      </c>
      <c r="B20" s="54" t="s">
        <v>18</v>
      </c>
      <c r="C20" s="46"/>
      <c r="D20" s="46"/>
      <c r="E20" s="46"/>
      <c r="F20" s="46"/>
      <c r="G20" s="46"/>
      <c r="H20" s="46"/>
      <c r="I20" s="46"/>
      <c r="J20" s="47"/>
    </row>
    <row r="21" spans="1:10" ht="13.2" x14ac:dyDescent="0.25">
      <c r="A21" s="25">
        <v>45789</v>
      </c>
      <c r="B21" s="26" t="s">
        <v>48</v>
      </c>
      <c r="C21" s="12" t="s">
        <v>99</v>
      </c>
      <c r="D21" s="26" t="s">
        <v>98</v>
      </c>
      <c r="E21" s="13" t="s">
        <v>57</v>
      </c>
      <c r="F21" s="13" t="s">
        <v>61</v>
      </c>
      <c r="G21" s="27">
        <v>3</v>
      </c>
      <c r="H21" s="27">
        <v>3</v>
      </c>
      <c r="I21" s="27">
        <f t="shared" ref="I21:I31" si="2">H21-G21</f>
        <v>0</v>
      </c>
      <c r="J21" s="26"/>
    </row>
    <row r="22" spans="1:10" ht="13.2" x14ac:dyDescent="0.25">
      <c r="A22" s="25">
        <v>45789</v>
      </c>
      <c r="B22" s="26" t="s">
        <v>48</v>
      </c>
      <c r="C22" s="12" t="s">
        <v>100</v>
      </c>
      <c r="D22" s="26" t="s">
        <v>73</v>
      </c>
      <c r="E22" s="13" t="s">
        <v>57</v>
      </c>
      <c r="F22" s="13" t="s">
        <v>61</v>
      </c>
      <c r="G22" s="27">
        <v>2</v>
      </c>
      <c r="H22" s="27">
        <v>2</v>
      </c>
      <c r="I22" s="27">
        <f t="shared" si="2"/>
        <v>0</v>
      </c>
      <c r="J22" s="26" t="s">
        <v>101</v>
      </c>
    </row>
    <row r="23" spans="1:10" ht="13.2" x14ac:dyDescent="0.25">
      <c r="A23" s="25">
        <v>45789</v>
      </c>
      <c r="B23" s="26" t="s">
        <v>48</v>
      </c>
      <c r="C23" s="12" t="s">
        <v>102</v>
      </c>
      <c r="D23" s="26" t="s">
        <v>103</v>
      </c>
      <c r="E23" s="13" t="s">
        <v>47</v>
      </c>
      <c r="F23" s="13" t="s">
        <v>63</v>
      </c>
      <c r="G23" s="27">
        <v>4</v>
      </c>
      <c r="H23" s="27">
        <v>4.5</v>
      </c>
      <c r="I23" s="27">
        <f t="shared" si="2"/>
        <v>0.5</v>
      </c>
      <c r="J23" s="26"/>
    </row>
    <row r="24" spans="1:10" ht="13.2" x14ac:dyDescent="0.25">
      <c r="A24" s="25">
        <v>45790</v>
      </c>
      <c r="B24" s="26" t="s">
        <v>48</v>
      </c>
      <c r="C24" s="12" t="s">
        <v>102</v>
      </c>
      <c r="D24" s="26" t="s">
        <v>104</v>
      </c>
      <c r="E24" s="13" t="s">
        <v>54</v>
      </c>
      <c r="F24" s="13" t="s">
        <v>63</v>
      </c>
      <c r="G24" s="27">
        <v>3</v>
      </c>
      <c r="H24" s="27">
        <v>3</v>
      </c>
      <c r="I24" s="27">
        <f t="shared" si="2"/>
        <v>0</v>
      </c>
      <c r="J24" s="26" t="s">
        <v>105</v>
      </c>
    </row>
    <row r="25" spans="1:10" ht="13.2" x14ac:dyDescent="0.25">
      <c r="A25" s="25">
        <v>45791</v>
      </c>
      <c r="B25" s="26" t="s">
        <v>48</v>
      </c>
      <c r="C25" s="12" t="s">
        <v>106</v>
      </c>
      <c r="D25" s="26" t="s">
        <v>108</v>
      </c>
      <c r="E25" s="13" t="s">
        <v>57</v>
      </c>
      <c r="F25" s="13" t="s">
        <v>66</v>
      </c>
      <c r="G25" s="27">
        <v>4</v>
      </c>
      <c r="H25" s="27">
        <v>4</v>
      </c>
      <c r="I25" s="27">
        <f t="shared" si="2"/>
        <v>0</v>
      </c>
      <c r="J25" s="26" t="s">
        <v>107</v>
      </c>
    </row>
    <row r="26" spans="1:10" ht="13.2" x14ac:dyDescent="0.25">
      <c r="A26" s="25">
        <v>45791</v>
      </c>
      <c r="B26" s="26" t="s">
        <v>48</v>
      </c>
      <c r="C26" s="12" t="s">
        <v>80</v>
      </c>
      <c r="D26" s="26" t="s">
        <v>109</v>
      </c>
      <c r="E26" s="13" t="s">
        <v>57</v>
      </c>
      <c r="F26" s="13" t="s">
        <v>66</v>
      </c>
      <c r="G26" s="27">
        <v>3</v>
      </c>
      <c r="H26" s="27">
        <v>3.5</v>
      </c>
      <c r="I26" s="27">
        <f t="shared" si="2"/>
        <v>0.5</v>
      </c>
      <c r="J26" s="26"/>
    </row>
    <row r="27" spans="1:10" ht="13.2" x14ac:dyDescent="0.25">
      <c r="A27" s="25">
        <v>45792</v>
      </c>
      <c r="B27" s="26" t="s">
        <v>48</v>
      </c>
      <c r="C27" s="12" t="s">
        <v>70</v>
      </c>
      <c r="D27" s="26" t="s">
        <v>110</v>
      </c>
      <c r="E27" s="13" t="s">
        <v>57</v>
      </c>
      <c r="F27" s="13" t="s">
        <v>66</v>
      </c>
      <c r="G27" s="27">
        <v>4</v>
      </c>
      <c r="H27" s="27">
        <v>4</v>
      </c>
      <c r="I27" s="27">
        <f t="shared" si="2"/>
        <v>0</v>
      </c>
      <c r="J27" s="26"/>
    </row>
    <row r="28" spans="1:10" ht="13.2" x14ac:dyDescent="0.25">
      <c r="A28" s="25">
        <v>45792</v>
      </c>
      <c r="B28" s="26" t="s">
        <v>48</v>
      </c>
      <c r="C28" s="12" t="s">
        <v>111</v>
      </c>
      <c r="D28" s="26" t="s">
        <v>112</v>
      </c>
      <c r="E28" s="13" t="s">
        <v>57</v>
      </c>
      <c r="F28" s="13" t="s">
        <v>66</v>
      </c>
      <c r="G28" s="27">
        <v>4</v>
      </c>
      <c r="H28" s="27">
        <v>4</v>
      </c>
      <c r="I28" s="27">
        <f t="shared" si="2"/>
        <v>0</v>
      </c>
      <c r="J28" s="26"/>
    </row>
    <row r="29" spans="1:10" ht="13.2" x14ac:dyDescent="0.25">
      <c r="A29" s="25">
        <v>45793</v>
      </c>
      <c r="B29" s="26" t="s">
        <v>48</v>
      </c>
      <c r="C29" s="12" t="s">
        <v>99</v>
      </c>
      <c r="D29" s="26" t="s">
        <v>113</v>
      </c>
      <c r="E29" s="13" t="s">
        <v>45</v>
      </c>
      <c r="F29" s="13" t="s">
        <v>66</v>
      </c>
      <c r="G29" s="27">
        <v>3</v>
      </c>
      <c r="H29" s="27">
        <v>3</v>
      </c>
      <c r="I29" s="27">
        <f t="shared" si="2"/>
        <v>0</v>
      </c>
      <c r="J29" s="26"/>
    </row>
    <row r="30" spans="1:10" ht="13.2" x14ac:dyDescent="0.25">
      <c r="A30" s="25">
        <v>45793</v>
      </c>
      <c r="B30" s="26" t="s">
        <v>48</v>
      </c>
      <c r="C30" s="12" t="s">
        <v>99</v>
      </c>
      <c r="D30" s="26" t="s">
        <v>114</v>
      </c>
      <c r="E30" s="13" t="s">
        <v>45</v>
      </c>
      <c r="F30" s="13" t="s">
        <v>66</v>
      </c>
      <c r="G30" s="27">
        <v>4</v>
      </c>
      <c r="H30" s="27">
        <v>4</v>
      </c>
      <c r="I30" s="27">
        <f t="shared" si="2"/>
        <v>0</v>
      </c>
      <c r="J30" s="26"/>
    </row>
    <row r="31" spans="1:10" ht="13.2" x14ac:dyDescent="0.25">
      <c r="A31" s="18"/>
      <c r="B31" s="20"/>
      <c r="C31" s="20"/>
      <c r="D31" s="20"/>
      <c r="E31" s="20" t="s">
        <v>16</v>
      </c>
      <c r="F31" s="20"/>
      <c r="G31" s="23">
        <f t="shared" ref="G31:H31" si="3">SUM(G19:G30)</f>
        <v>34</v>
      </c>
      <c r="H31" s="23">
        <f t="shared" si="3"/>
        <v>35</v>
      </c>
      <c r="I31" s="23">
        <f t="shared" si="2"/>
        <v>1</v>
      </c>
      <c r="J31" s="20"/>
    </row>
    <row r="32" spans="1:10" ht="18.75" customHeight="1" x14ac:dyDescent="0.25">
      <c r="A32" s="55" t="s">
        <v>19</v>
      </c>
      <c r="B32" s="46"/>
      <c r="C32" s="46"/>
      <c r="D32" s="46"/>
      <c r="E32" s="46"/>
      <c r="F32" s="46"/>
      <c r="G32" s="46"/>
      <c r="H32" s="46"/>
      <c r="I32" s="46"/>
      <c r="J32" s="47"/>
    </row>
    <row r="33" spans="1:10" ht="13.2" x14ac:dyDescent="0.25">
      <c r="A33" s="28" t="s">
        <v>11</v>
      </c>
      <c r="B33" s="56" t="s">
        <v>12</v>
      </c>
      <c r="C33" s="46"/>
      <c r="D33" s="46"/>
      <c r="E33" s="46"/>
      <c r="F33" s="46"/>
      <c r="G33" s="46"/>
      <c r="H33" s="46"/>
      <c r="I33" s="46"/>
      <c r="J33" s="47"/>
    </row>
    <row r="34" spans="1:10" ht="27.75" customHeight="1" x14ac:dyDescent="0.25">
      <c r="A34" s="29" t="s">
        <v>13</v>
      </c>
      <c r="B34" s="56" t="s">
        <v>14</v>
      </c>
      <c r="C34" s="46"/>
      <c r="D34" s="46"/>
      <c r="E34" s="46"/>
      <c r="F34" s="46"/>
      <c r="G34" s="46"/>
      <c r="H34" s="46"/>
      <c r="I34" s="46"/>
      <c r="J34" s="47"/>
    </row>
    <row r="35" spans="1:10" ht="13.2" x14ac:dyDescent="0.25">
      <c r="A35" s="30">
        <v>45796</v>
      </c>
      <c r="B35" s="26" t="s">
        <v>48</v>
      </c>
      <c r="C35" s="12" t="s">
        <v>115</v>
      </c>
      <c r="D35" s="26" t="s">
        <v>116</v>
      </c>
      <c r="E35" s="13" t="s">
        <v>45</v>
      </c>
      <c r="F35" s="13" t="s">
        <v>66</v>
      </c>
      <c r="G35" s="27">
        <v>3</v>
      </c>
      <c r="H35" s="27">
        <v>3</v>
      </c>
      <c r="I35" s="27">
        <f t="shared" ref="I35:I45" si="4">H35-G35</f>
        <v>0</v>
      </c>
      <c r="J35" s="26" t="s">
        <v>117</v>
      </c>
    </row>
    <row r="36" spans="1:10" ht="13.2" x14ac:dyDescent="0.25">
      <c r="A36" s="30">
        <v>45796</v>
      </c>
      <c r="B36" s="26" t="s">
        <v>48</v>
      </c>
      <c r="C36" s="12" t="s">
        <v>118</v>
      </c>
      <c r="D36" s="26" t="s">
        <v>119</v>
      </c>
      <c r="E36" s="13" t="s">
        <v>47</v>
      </c>
      <c r="F36" s="13" t="s">
        <v>64</v>
      </c>
      <c r="G36" s="27">
        <v>4</v>
      </c>
      <c r="H36" s="27">
        <v>4</v>
      </c>
      <c r="I36" s="27">
        <f t="shared" si="4"/>
        <v>0</v>
      </c>
      <c r="J36" s="26" t="s">
        <v>120</v>
      </c>
    </row>
    <row r="37" spans="1:10" ht="13.2" x14ac:dyDescent="0.25">
      <c r="A37" s="30">
        <v>45797</v>
      </c>
      <c r="B37" s="26" t="s">
        <v>48</v>
      </c>
      <c r="C37" s="12" t="s">
        <v>121</v>
      </c>
      <c r="D37" s="26" t="s">
        <v>122</v>
      </c>
      <c r="E37" s="13" t="s">
        <v>45</v>
      </c>
      <c r="F37" s="13" t="s">
        <v>66</v>
      </c>
      <c r="G37" s="27">
        <v>3</v>
      </c>
      <c r="H37" s="27">
        <v>3</v>
      </c>
      <c r="I37" s="27">
        <f t="shared" si="4"/>
        <v>0</v>
      </c>
      <c r="J37" s="26"/>
    </row>
    <row r="38" spans="1:10" ht="13.2" x14ac:dyDescent="0.25">
      <c r="A38" s="30">
        <v>45797</v>
      </c>
      <c r="B38" s="26" t="s">
        <v>48</v>
      </c>
      <c r="C38" s="12" t="s">
        <v>123</v>
      </c>
      <c r="D38" s="26" t="s">
        <v>124</v>
      </c>
      <c r="E38" s="13" t="s">
        <v>57</v>
      </c>
      <c r="F38" s="13" t="s">
        <v>64</v>
      </c>
      <c r="G38" s="27">
        <v>2</v>
      </c>
      <c r="H38" s="27">
        <v>2</v>
      </c>
      <c r="I38" s="27">
        <f t="shared" si="4"/>
        <v>0</v>
      </c>
      <c r="J38" s="26"/>
    </row>
    <row r="39" spans="1:10" ht="13.2" x14ac:dyDescent="0.25">
      <c r="A39" s="30">
        <v>45798</v>
      </c>
      <c r="B39" s="26" t="s">
        <v>48</v>
      </c>
      <c r="C39" s="12" t="s">
        <v>72</v>
      </c>
      <c r="D39" s="26" t="s">
        <v>125</v>
      </c>
      <c r="E39" s="13" t="s">
        <v>57</v>
      </c>
      <c r="F39" s="13" t="s">
        <v>66</v>
      </c>
      <c r="G39" s="27">
        <v>4</v>
      </c>
      <c r="H39" s="27">
        <v>4</v>
      </c>
      <c r="I39" s="27">
        <f t="shared" si="4"/>
        <v>0</v>
      </c>
      <c r="J39" s="26"/>
    </row>
    <row r="40" spans="1:10" ht="13.2" x14ac:dyDescent="0.25">
      <c r="A40" s="30">
        <v>45798</v>
      </c>
      <c r="B40" s="26" t="s">
        <v>48</v>
      </c>
      <c r="C40" s="12" t="s">
        <v>126</v>
      </c>
      <c r="D40" s="26" t="s">
        <v>127</v>
      </c>
      <c r="E40" s="13" t="s">
        <v>57</v>
      </c>
      <c r="F40" s="13" t="s">
        <v>66</v>
      </c>
      <c r="G40" s="27">
        <v>3</v>
      </c>
      <c r="H40" s="27">
        <v>3</v>
      </c>
      <c r="I40" s="27">
        <f t="shared" si="4"/>
        <v>0</v>
      </c>
      <c r="J40" s="26"/>
    </row>
    <row r="41" spans="1:10" ht="13.2" x14ac:dyDescent="0.25">
      <c r="A41" s="30">
        <v>45799</v>
      </c>
      <c r="B41" s="26" t="s">
        <v>48</v>
      </c>
      <c r="C41" s="12" t="s">
        <v>128</v>
      </c>
      <c r="D41" s="26" t="s">
        <v>125</v>
      </c>
      <c r="E41" s="13" t="s">
        <v>57</v>
      </c>
      <c r="F41" s="13" t="s">
        <v>61</v>
      </c>
      <c r="G41" s="27">
        <v>4</v>
      </c>
      <c r="H41" s="27">
        <v>4</v>
      </c>
      <c r="I41" s="27">
        <f t="shared" si="4"/>
        <v>0</v>
      </c>
      <c r="J41" s="26"/>
    </row>
    <row r="42" spans="1:10" ht="13.2" x14ac:dyDescent="0.25">
      <c r="A42" s="30">
        <v>45800</v>
      </c>
      <c r="B42" s="26" t="s">
        <v>48</v>
      </c>
      <c r="C42" s="12" t="s">
        <v>121</v>
      </c>
      <c r="D42" s="26" t="s">
        <v>129</v>
      </c>
      <c r="E42" s="13" t="s">
        <v>45</v>
      </c>
      <c r="F42" s="13" t="s">
        <v>66</v>
      </c>
      <c r="G42" s="27">
        <v>3</v>
      </c>
      <c r="H42" s="27">
        <v>3</v>
      </c>
      <c r="I42" s="27">
        <f t="shared" si="4"/>
        <v>0</v>
      </c>
      <c r="J42" s="26"/>
    </row>
    <row r="43" spans="1:10" ht="13.2" x14ac:dyDescent="0.25">
      <c r="A43" s="30">
        <v>45801</v>
      </c>
      <c r="B43" s="26" t="s">
        <v>48</v>
      </c>
      <c r="C43" s="12" t="s">
        <v>115</v>
      </c>
      <c r="D43" s="26" t="s">
        <v>113</v>
      </c>
      <c r="E43" s="13" t="s">
        <v>45</v>
      </c>
      <c r="F43" s="13" t="s">
        <v>66</v>
      </c>
      <c r="G43" s="27">
        <v>4</v>
      </c>
      <c r="H43" s="27">
        <v>4</v>
      </c>
      <c r="I43" s="27">
        <f t="shared" si="4"/>
        <v>0</v>
      </c>
      <c r="J43" s="26" t="s">
        <v>130</v>
      </c>
    </row>
    <row r="44" spans="1:10" ht="13.2" x14ac:dyDescent="0.25">
      <c r="A44" s="30">
        <v>45802</v>
      </c>
      <c r="B44" s="26" t="s">
        <v>48</v>
      </c>
      <c r="C44" s="12" t="s">
        <v>131</v>
      </c>
      <c r="D44" s="26" t="s">
        <v>132</v>
      </c>
      <c r="E44" s="13" t="s">
        <v>54</v>
      </c>
      <c r="F44" s="13" t="s">
        <v>61</v>
      </c>
      <c r="G44" s="27">
        <v>2</v>
      </c>
      <c r="H44" s="27">
        <v>2</v>
      </c>
      <c r="I44" s="27">
        <f t="shared" si="4"/>
        <v>0</v>
      </c>
      <c r="J44" s="26"/>
    </row>
    <row r="45" spans="1:10" ht="13.2" x14ac:dyDescent="0.25">
      <c r="A45" s="18"/>
      <c r="B45" s="20"/>
      <c r="C45" s="20"/>
      <c r="D45" s="20"/>
      <c r="E45" s="20" t="s">
        <v>16</v>
      </c>
      <c r="F45" s="20"/>
      <c r="G45" s="23">
        <f t="shared" ref="G45:H45" si="5">SUM(G35:G44)</f>
        <v>32</v>
      </c>
      <c r="H45" s="23">
        <f t="shared" si="5"/>
        <v>32</v>
      </c>
      <c r="I45" s="23">
        <f t="shared" si="4"/>
        <v>0</v>
      </c>
      <c r="J45" s="20"/>
    </row>
    <row r="46" spans="1:10" ht="18.75" customHeight="1" x14ac:dyDescent="0.25">
      <c r="A46" s="57" t="s">
        <v>20</v>
      </c>
      <c r="B46" s="46"/>
      <c r="C46" s="46"/>
      <c r="D46" s="46"/>
      <c r="E46" s="46"/>
      <c r="F46" s="46"/>
      <c r="G46" s="46"/>
      <c r="H46" s="46"/>
      <c r="I46" s="46"/>
      <c r="J46" s="47"/>
    </row>
    <row r="47" spans="1:10" ht="13.2" x14ac:dyDescent="0.25">
      <c r="A47" s="31" t="s">
        <v>11</v>
      </c>
      <c r="B47" s="51" t="s">
        <v>12</v>
      </c>
      <c r="C47" s="46"/>
      <c r="D47" s="46"/>
      <c r="E47" s="46"/>
      <c r="F47" s="46"/>
      <c r="G47" s="46"/>
      <c r="H47" s="46"/>
      <c r="I47" s="46"/>
      <c r="J47" s="47"/>
    </row>
    <row r="48" spans="1:10" ht="27.75" customHeight="1" x14ac:dyDescent="0.25">
      <c r="A48" s="32" t="s">
        <v>13</v>
      </c>
      <c r="B48" s="51" t="s">
        <v>14</v>
      </c>
      <c r="C48" s="46"/>
      <c r="D48" s="46"/>
      <c r="E48" s="46"/>
      <c r="F48" s="46"/>
      <c r="G48" s="46"/>
      <c r="H48" s="46"/>
      <c r="I48" s="46"/>
      <c r="J48" s="47"/>
    </row>
    <row r="49" spans="1:10" ht="13.2" x14ac:dyDescent="0.25">
      <c r="A49" s="30">
        <v>45803</v>
      </c>
      <c r="B49" s="26" t="s">
        <v>48</v>
      </c>
      <c r="C49" s="12" t="s">
        <v>133</v>
      </c>
      <c r="D49" s="26" t="s">
        <v>134</v>
      </c>
      <c r="E49" s="13" t="s">
        <v>47</v>
      </c>
      <c r="F49" s="13" t="s">
        <v>64</v>
      </c>
      <c r="G49" s="27">
        <v>3</v>
      </c>
      <c r="H49" s="27">
        <v>3</v>
      </c>
      <c r="I49" s="27">
        <f t="shared" ref="I49:I59" si="6">H49-G49</f>
        <v>0</v>
      </c>
      <c r="J49" s="26"/>
    </row>
    <row r="50" spans="1:10" ht="13.2" x14ac:dyDescent="0.25">
      <c r="A50" s="30">
        <v>45804</v>
      </c>
      <c r="B50" s="26" t="s">
        <v>48</v>
      </c>
      <c r="C50" s="12" t="s">
        <v>135</v>
      </c>
      <c r="D50" t="s">
        <v>136</v>
      </c>
      <c r="E50" s="13" t="s">
        <v>47</v>
      </c>
      <c r="F50" s="13" t="s">
        <v>64</v>
      </c>
      <c r="G50" s="27">
        <v>3</v>
      </c>
      <c r="H50" s="27">
        <v>3</v>
      </c>
      <c r="I50" s="27">
        <f t="shared" si="6"/>
        <v>0</v>
      </c>
      <c r="J50" s="26"/>
    </row>
    <row r="51" spans="1:10" ht="13.2" x14ac:dyDescent="0.25">
      <c r="A51" s="30">
        <v>45804</v>
      </c>
      <c r="B51" s="26" t="s">
        <v>48</v>
      </c>
      <c r="C51" s="12" t="s">
        <v>137</v>
      </c>
      <c r="D51" s="26" t="s">
        <v>138</v>
      </c>
      <c r="E51" s="13" t="s">
        <v>54</v>
      </c>
      <c r="F51" s="13" t="s">
        <v>64</v>
      </c>
      <c r="G51" s="27">
        <v>4</v>
      </c>
      <c r="H51" s="27">
        <v>4</v>
      </c>
      <c r="I51" s="27">
        <f t="shared" si="6"/>
        <v>0</v>
      </c>
      <c r="J51" s="26"/>
    </row>
    <row r="52" spans="1:10" ht="13.2" x14ac:dyDescent="0.25">
      <c r="A52" s="30">
        <v>45804</v>
      </c>
      <c r="B52" s="26" t="s">
        <v>48</v>
      </c>
      <c r="C52" s="12" t="s">
        <v>139</v>
      </c>
      <c r="D52" s="26" t="s">
        <v>140</v>
      </c>
      <c r="E52" s="13" t="s">
        <v>45</v>
      </c>
      <c r="F52" s="13" t="s">
        <v>64</v>
      </c>
      <c r="G52" s="27">
        <v>2</v>
      </c>
      <c r="H52" s="27">
        <v>2</v>
      </c>
      <c r="I52" s="27">
        <f t="shared" si="6"/>
        <v>0</v>
      </c>
      <c r="J52" s="26" t="s">
        <v>141</v>
      </c>
    </row>
    <row r="53" spans="1:10" ht="13.2" x14ac:dyDescent="0.25">
      <c r="A53" s="30">
        <v>45805</v>
      </c>
      <c r="B53" s="26" t="s">
        <v>48</v>
      </c>
      <c r="C53" s="12" t="s">
        <v>142</v>
      </c>
      <c r="D53" s="26" t="s">
        <v>143</v>
      </c>
      <c r="E53" s="13" t="s">
        <v>45</v>
      </c>
      <c r="F53" s="13" t="s">
        <v>66</v>
      </c>
      <c r="G53" s="27">
        <v>2</v>
      </c>
      <c r="H53" s="27">
        <v>2</v>
      </c>
      <c r="I53" s="27">
        <f t="shared" si="6"/>
        <v>0</v>
      </c>
      <c r="J53" s="26"/>
    </row>
    <row r="54" spans="1:10" ht="13.2" x14ac:dyDescent="0.25">
      <c r="A54" s="30">
        <v>45805</v>
      </c>
      <c r="B54" s="26" t="s">
        <v>48</v>
      </c>
      <c r="C54" s="12" t="s">
        <v>142</v>
      </c>
      <c r="D54" s="26" t="s">
        <v>144</v>
      </c>
      <c r="E54" s="13" t="s">
        <v>45</v>
      </c>
      <c r="F54" s="13" t="s">
        <v>66</v>
      </c>
      <c r="G54" s="27">
        <v>3</v>
      </c>
      <c r="H54" s="27">
        <v>3</v>
      </c>
      <c r="I54" s="27">
        <f t="shared" si="6"/>
        <v>0</v>
      </c>
      <c r="J54" s="26" t="s">
        <v>145</v>
      </c>
    </row>
    <row r="55" spans="1:10" ht="13.2" x14ac:dyDescent="0.25">
      <c r="A55" s="30">
        <v>45806</v>
      </c>
      <c r="B55" s="26" t="s">
        <v>48</v>
      </c>
      <c r="C55" s="12" t="s">
        <v>146</v>
      </c>
      <c r="D55" s="26" t="s">
        <v>147</v>
      </c>
      <c r="E55" s="13" t="s">
        <v>47</v>
      </c>
      <c r="F55" s="13" t="s">
        <v>63</v>
      </c>
      <c r="G55" s="27">
        <v>4</v>
      </c>
      <c r="H55" s="27">
        <v>4</v>
      </c>
      <c r="I55" s="27">
        <f t="shared" si="6"/>
        <v>0</v>
      </c>
      <c r="J55" s="26"/>
    </row>
    <row r="56" spans="1:10" ht="13.2" x14ac:dyDescent="0.25">
      <c r="A56" s="30">
        <v>45806</v>
      </c>
      <c r="B56" s="26" t="s">
        <v>48</v>
      </c>
      <c r="C56" s="12" t="s">
        <v>88</v>
      </c>
      <c r="D56" s="26" t="s">
        <v>148</v>
      </c>
      <c r="E56" s="13" t="s">
        <v>45</v>
      </c>
      <c r="F56" s="13" t="s">
        <v>66</v>
      </c>
      <c r="G56" s="27">
        <v>2</v>
      </c>
      <c r="H56" s="27">
        <v>2</v>
      </c>
      <c r="I56" s="27">
        <f t="shared" si="6"/>
        <v>0</v>
      </c>
      <c r="J56" s="26" t="s">
        <v>149</v>
      </c>
    </row>
    <row r="57" spans="1:10" ht="13.2" x14ac:dyDescent="0.25">
      <c r="A57" s="30">
        <v>45807</v>
      </c>
      <c r="B57" s="26" t="s">
        <v>48</v>
      </c>
      <c r="C57" s="12" t="s">
        <v>150</v>
      </c>
      <c r="D57" s="26" t="s">
        <v>151</v>
      </c>
      <c r="E57" s="13" t="s">
        <v>45</v>
      </c>
      <c r="F57" s="13" t="s">
        <v>66</v>
      </c>
      <c r="G57" s="27">
        <v>4</v>
      </c>
      <c r="H57" s="27">
        <v>4</v>
      </c>
      <c r="I57" s="27">
        <f t="shared" si="6"/>
        <v>0</v>
      </c>
      <c r="J57" s="26"/>
    </row>
    <row r="58" spans="1:10" ht="13.2" x14ac:dyDescent="0.25">
      <c r="A58" s="30">
        <v>45807</v>
      </c>
      <c r="B58" s="26" t="s">
        <v>48</v>
      </c>
      <c r="C58" s="12" t="s">
        <v>152</v>
      </c>
      <c r="D58" s="26" t="s">
        <v>51</v>
      </c>
      <c r="E58" s="13" t="s">
        <v>51</v>
      </c>
      <c r="F58" s="13" t="s">
        <v>64</v>
      </c>
      <c r="G58" s="27">
        <v>4</v>
      </c>
      <c r="H58" s="27">
        <v>4</v>
      </c>
      <c r="I58" s="27">
        <f t="shared" si="6"/>
        <v>0</v>
      </c>
      <c r="J58" s="26"/>
    </row>
    <row r="59" spans="1:10" ht="13.2" x14ac:dyDescent="0.25">
      <c r="A59" s="18"/>
      <c r="B59" s="20"/>
      <c r="C59" s="20"/>
      <c r="D59" s="20"/>
      <c r="E59" s="20" t="s">
        <v>16</v>
      </c>
      <c r="F59" s="20"/>
      <c r="G59" s="23">
        <f t="shared" ref="G59:H59" si="7">SUM(G49:G58)</f>
        <v>31</v>
      </c>
      <c r="H59" s="23">
        <f t="shared" si="7"/>
        <v>31</v>
      </c>
      <c r="I59" s="23">
        <f t="shared" si="6"/>
        <v>0</v>
      </c>
      <c r="J59" s="20"/>
    </row>
    <row r="60" spans="1:10" ht="18.75" customHeight="1" x14ac:dyDescent="0.25">
      <c r="A60" s="52" t="s">
        <v>21</v>
      </c>
      <c r="B60" s="46"/>
      <c r="C60" s="46"/>
      <c r="D60" s="46"/>
      <c r="E60" s="46"/>
      <c r="F60" s="46"/>
      <c r="G60" s="46"/>
      <c r="H60" s="46"/>
      <c r="I60" s="46"/>
      <c r="J60" s="47"/>
    </row>
    <row r="61" spans="1:10" ht="13.2" x14ac:dyDescent="0.25">
      <c r="A61" s="33" t="s">
        <v>11</v>
      </c>
      <c r="B61" s="53" t="s">
        <v>12</v>
      </c>
      <c r="C61" s="46"/>
      <c r="D61" s="46"/>
      <c r="E61" s="46"/>
      <c r="F61" s="46"/>
      <c r="G61" s="46"/>
      <c r="H61" s="46"/>
      <c r="I61" s="46"/>
      <c r="J61" s="47"/>
    </row>
    <row r="62" spans="1:10" ht="27.75" customHeight="1" x14ac:dyDescent="0.25">
      <c r="A62" s="34" t="s">
        <v>13</v>
      </c>
      <c r="B62" s="53" t="s">
        <v>14</v>
      </c>
      <c r="C62" s="46"/>
      <c r="D62" s="46"/>
      <c r="E62" s="46"/>
      <c r="F62" s="46"/>
      <c r="G62" s="46"/>
      <c r="H62" s="46"/>
      <c r="I62" s="46"/>
      <c r="J62" s="47"/>
    </row>
    <row r="63" spans="1:10" ht="13.2" x14ac:dyDescent="0.25">
      <c r="A63" s="30">
        <v>45810</v>
      </c>
      <c r="B63" s="26" t="s">
        <v>48</v>
      </c>
      <c r="C63" s="12" t="s">
        <v>153</v>
      </c>
      <c r="D63" s="26" t="s">
        <v>154</v>
      </c>
      <c r="E63" s="13" t="s">
        <v>45</v>
      </c>
      <c r="F63" s="13" t="s">
        <v>67</v>
      </c>
      <c r="G63" s="27">
        <v>3</v>
      </c>
      <c r="H63" s="27">
        <v>3</v>
      </c>
      <c r="I63" s="27">
        <f t="shared" ref="I63:I73" si="8">H63-G63</f>
        <v>0</v>
      </c>
      <c r="J63" s="26" t="s">
        <v>155</v>
      </c>
    </row>
    <row r="64" spans="1:10" ht="13.2" x14ac:dyDescent="0.25">
      <c r="A64" s="30">
        <v>45810</v>
      </c>
      <c r="B64" s="26" t="s">
        <v>48</v>
      </c>
      <c r="C64" s="12" t="s">
        <v>150</v>
      </c>
      <c r="D64" s="26" t="s">
        <v>151</v>
      </c>
      <c r="E64" s="13" t="s">
        <v>45</v>
      </c>
      <c r="F64" s="13" t="s">
        <v>66</v>
      </c>
      <c r="G64" s="27">
        <v>5</v>
      </c>
      <c r="H64" s="27">
        <v>5</v>
      </c>
      <c r="I64" s="27">
        <f t="shared" si="8"/>
        <v>0</v>
      </c>
      <c r="J64" s="26"/>
    </row>
    <row r="65" spans="1:10" ht="13.2" x14ac:dyDescent="0.25">
      <c r="A65" s="30">
        <v>45811</v>
      </c>
      <c r="B65" s="26" t="s">
        <v>48</v>
      </c>
      <c r="C65" s="12" t="s">
        <v>150</v>
      </c>
      <c r="D65" s="26" t="s">
        <v>151</v>
      </c>
      <c r="E65" s="13" t="s">
        <v>45</v>
      </c>
      <c r="F65" s="13" t="s">
        <v>66</v>
      </c>
      <c r="G65" s="27">
        <v>5</v>
      </c>
      <c r="H65" s="27">
        <v>5</v>
      </c>
      <c r="I65" s="27">
        <f t="shared" si="8"/>
        <v>0</v>
      </c>
      <c r="J65" s="26"/>
    </row>
    <row r="66" spans="1:10" ht="13.2" x14ac:dyDescent="0.25">
      <c r="A66" s="30">
        <v>45812</v>
      </c>
      <c r="B66" s="26" t="s">
        <v>48</v>
      </c>
      <c r="C66" s="12" t="s">
        <v>150</v>
      </c>
      <c r="D66" s="26" t="s">
        <v>151</v>
      </c>
      <c r="E66" s="13" t="s">
        <v>45</v>
      </c>
      <c r="F66" s="13" t="s">
        <v>66</v>
      </c>
      <c r="G66" s="27">
        <v>5</v>
      </c>
      <c r="H66" s="27">
        <v>5</v>
      </c>
      <c r="I66" s="27">
        <f t="shared" si="8"/>
        <v>0</v>
      </c>
      <c r="J66" s="26"/>
    </row>
    <row r="67" spans="1:10" ht="13.2" x14ac:dyDescent="0.25">
      <c r="A67" s="30">
        <v>45813</v>
      </c>
      <c r="B67" s="26" t="s">
        <v>48</v>
      </c>
      <c r="C67" s="12" t="s">
        <v>150</v>
      </c>
      <c r="D67" s="26" t="s">
        <v>151</v>
      </c>
      <c r="E67" s="13" t="s">
        <v>45</v>
      </c>
      <c r="F67" s="13" t="s">
        <v>66</v>
      </c>
      <c r="G67" s="27">
        <v>5</v>
      </c>
      <c r="H67" s="27">
        <v>5</v>
      </c>
      <c r="I67" s="27">
        <f t="shared" si="8"/>
        <v>0</v>
      </c>
      <c r="J67" s="26"/>
    </row>
    <row r="68" spans="1:10" ht="13.2" x14ac:dyDescent="0.25">
      <c r="A68" s="30">
        <v>45814</v>
      </c>
      <c r="B68" s="26" t="s">
        <v>48</v>
      </c>
      <c r="C68" s="12" t="s">
        <v>150</v>
      </c>
      <c r="D68" s="26" t="s">
        <v>151</v>
      </c>
      <c r="E68" s="13" t="s">
        <v>45</v>
      </c>
      <c r="F68" s="13" t="s">
        <v>66</v>
      </c>
      <c r="G68" s="27">
        <v>5</v>
      </c>
      <c r="H68" s="27">
        <v>5</v>
      </c>
      <c r="I68" s="27">
        <f t="shared" si="8"/>
        <v>0</v>
      </c>
      <c r="J68" s="26" t="s">
        <v>156</v>
      </c>
    </row>
    <row r="69" spans="1:10" ht="13.2" x14ac:dyDescent="0.25">
      <c r="A69" s="30">
        <v>45815</v>
      </c>
      <c r="B69" s="26" t="s">
        <v>48</v>
      </c>
      <c r="C69" s="12" t="s">
        <v>47</v>
      </c>
      <c r="D69" s="26" t="s">
        <v>157</v>
      </c>
      <c r="E69" s="13" t="s">
        <v>45</v>
      </c>
      <c r="F69" s="13" t="s">
        <v>67</v>
      </c>
      <c r="G69" s="27">
        <v>4</v>
      </c>
      <c r="H69" s="27">
        <v>4</v>
      </c>
      <c r="I69" s="27">
        <f t="shared" si="8"/>
        <v>0</v>
      </c>
      <c r="J69" s="26" t="s">
        <v>158</v>
      </c>
    </row>
    <row r="70" spans="1:10" ht="13.2" x14ac:dyDescent="0.25">
      <c r="A70" s="30"/>
      <c r="B70" s="26"/>
      <c r="C70" s="12" t="s">
        <v>15</v>
      </c>
      <c r="D70" s="26"/>
      <c r="E70" s="13"/>
      <c r="F70" s="13"/>
      <c r="G70" s="27"/>
      <c r="H70" s="27"/>
      <c r="I70" s="27">
        <f t="shared" si="8"/>
        <v>0</v>
      </c>
      <c r="J70" s="26"/>
    </row>
    <row r="71" spans="1:10" ht="13.2" x14ac:dyDescent="0.25">
      <c r="A71" s="30"/>
      <c r="B71" s="26"/>
      <c r="C71" s="12" t="s">
        <v>15</v>
      </c>
      <c r="D71" s="26"/>
      <c r="E71" s="13"/>
      <c r="F71" s="13"/>
      <c r="G71" s="27"/>
      <c r="H71" s="27"/>
      <c r="I71" s="27">
        <f t="shared" si="8"/>
        <v>0</v>
      </c>
      <c r="J71" s="26"/>
    </row>
    <row r="72" spans="1:10" ht="13.2" x14ac:dyDescent="0.25">
      <c r="A72" s="30"/>
      <c r="B72" s="26"/>
      <c r="C72" s="12" t="s">
        <v>15</v>
      </c>
      <c r="D72" s="26"/>
      <c r="E72" s="13"/>
      <c r="F72" s="13"/>
      <c r="G72" s="27"/>
      <c r="H72" s="27"/>
      <c r="I72" s="27">
        <f t="shared" si="8"/>
        <v>0</v>
      </c>
      <c r="J72" s="26"/>
    </row>
    <row r="73" spans="1:10" ht="13.2" x14ac:dyDescent="0.25">
      <c r="A73" s="18"/>
      <c r="B73" s="20"/>
      <c r="C73" s="20"/>
      <c r="D73" s="20"/>
      <c r="E73" s="20" t="s">
        <v>16</v>
      </c>
      <c r="F73" s="20"/>
      <c r="G73" s="23">
        <f t="shared" ref="G73:H73" si="9">SUM(G63:G72)</f>
        <v>32</v>
      </c>
      <c r="H73" s="23">
        <f t="shared" si="9"/>
        <v>32</v>
      </c>
      <c r="I73" s="23">
        <f t="shared" si="8"/>
        <v>0</v>
      </c>
      <c r="J73" s="20"/>
    </row>
    <row r="74" spans="1:10" ht="18.75" customHeight="1" x14ac:dyDescent="0.25">
      <c r="A74" s="48" t="s">
        <v>22</v>
      </c>
      <c r="B74" s="46"/>
      <c r="C74" s="46"/>
      <c r="D74" s="46"/>
      <c r="E74" s="46"/>
      <c r="F74" s="46"/>
      <c r="G74" s="46"/>
      <c r="H74" s="46"/>
      <c r="I74" s="46"/>
      <c r="J74" s="47"/>
    </row>
    <row r="75" spans="1:10" ht="13.2" x14ac:dyDescent="0.25">
      <c r="A75" s="35" t="s">
        <v>11</v>
      </c>
      <c r="B75" s="49" t="s">
        <v>12</v>
      </c>
      <c r="C75" s="46"/>
      <c r="D75" s="46"/>
      <c r="E75" s="46"/>
      <c r="F75" s="46"/>
      <c r="G75" s="46"/>
      <c r="H75" s="46"/>
      <c r="I75" s="46"/>
      <c r="J75" s="47"/>
    </row>
    <row r="76" spans="1:10" ht="27.75" customHeight="1" x14ac:dyDescent="0.25">
      <c r="A76" s="36" t="s">
        <v>13</v>
      </c>
      <c r="B76" s="49" t="s">
        <v>14</v>
      </c>
      <c r="C76" s="46"/>
      <c r="D76" s="46"/>
      <c r="E76" s="46"/>
      <c r="F76" s="46"/>
      <c r="G76" s="46"/>
      <c r="H76" s="46"/>
      <c r="I76" s="46"/>
      <c r="J76" s="47"/>
    </row>
    <row r="77" spans="1:10" ht="13.2" x14ac:dyDescent="0.25">
      <c r="A77" s="30">
        <v>45817</v>
      </c>
      <c r="B77" s="26" t="s">
        <v>48</v>
      </c>
      <c r="C77" s="12" t="s">
        <v>159</v>
      </c>
      <c r="D77" s="26" t="s">
        <v>160</v>
      </c>
      <c r="E77" s="13" t="s">
        <v>45</v>
      </c>
      <c r="F77" s="13" t="s">
        <v>67</v>
      </c>
      <c r="G77" s="27">
        <v>5</v>
      </c>
      <c r="H77" s="27">
        <v>5</v>
      </c>
      <c r="I77" s="27">
        <f t="shared" ref="I77:I87" si="10">H77-G77</f>
        <v>0</v>
      </c>
      <c r="J77" s="26"/>
    </row>
    <row r="78" spans="1:10" ht="13.2" x14ac:dyDescent="0.25">
      <c r="A78" s="30">
        <v>45818</v>
      </c>
      <c r="B78" s="26" t="s">
        <v>48</v>
      </c>
      <c r="C78" s="12" t="s">
        <v>159</v>
      </c>
      <c r="D78" s="26" t="s">
        <v>160</v>
      </c>
      <c r="E78" s="13" t="s">
        <v>45</v>
      </c>
      <c r="F78" s="13" t="s">
        <v>67</v>
      </c>
      <c r="G78" s="27">
        <v>4</v>
      </c>
      <c r="H78" s="27">
        <v>4</v>
      </c>
      <c r="I78" s="27">
        <f t="shared" si="10"/>
        <v>0</v>
      </c>
      <c r="J78" s="26"/>
    </row>
    <row r="79" spans="1:10" ht="13.2" x14ac:dyDescent="0.25">
      <c r="A79" s="30">
        <v>45819</v>
      </c>
      <c r="B79" s="26" t="s">
        <v>48</v>
      </c>
      <c r="C79" s="12" t="s">
        <v>161</v>
      </c>
      <c r="D79" s="26" t="s">
        <v>162</v>
      </c>
      <c r="E79" s="13" t="s">
        <v>45</v>
      </c>
      <c r="F79" s="13" t="s">
        <v>66</v>
      </c>
      <c r="G79" s="27">
        <v>4</v>
      </c>
      <c r="H79" s="27">
        <v>4</v>
      </c>
      <c r="I79" s="27">
        <f t="shared" si="10"/>
        <v>0</v>
      </c>
      <c r="J79" s="26" t="s">
        <v>163</v>
      </c>
    </row>
    <row r="80" spans="1:10" ht="13.2" x14ac:dyDescent="0.25">
      <c r="A80" s="30">
        <v>45819</v>
      </c>
      <c r="B80" s="26" t="s">
        <v>48</v>
      </c>
      <c r="C80" s="12" t="s">
        <v>137</v>
      </c>
      <c r="D80" s="26" t="s">
        <v>164</v>
      </c>
      <c r="E80" s="13" t="s">
        <v>47</v>
      </c>
      <c r="F80" s="13" t="s">
        <v>64</v>
      </c>
      <c r="G80" s="27">
        <v>2</v>
      </c>
      <c r="H80" s="27">
        <v>2</v>
      </c>
      <c r="I80" s="27">
        <f t="shared" si="10"/>
        <v>0</v>
      </c>
      <c r="J80" s="26"/>
    </row>
    <row r="81" spans="1:10" ht="13.2" x14ac:dyDescent="0.25">
      <c r="A81" s="30">
        <v>45820</v>
      </c>
      <c r="B81" s="26" t="s">
        <v>48</v>
      </c>
      <c r="C81" s="12" t="s">
        <v>150</v>
      </c>
      <c r="D81" s="26" t="s">
        <v>165</v>
      </c>
      <c r="E81" s="13" t="s">
        <v>45</v>
      </c>
      <c r="F81" s="13" t="s">
        <v>62</v>
      </c>
      <c r="G81" s="27">
        <v>4</v>
      </c>
      <c r="H81" s="27">
        <v>4</v>
      </c>
      <c r="I81" s="27">
        <f t="shared" si="10"/>
        <v>0</v>
      </c>
      <c r="J81" s="26" t="s">
        <v>166</v>
      </c>
    </row>
    <row r="82" spans="1:10" ht="13.2" x14ac:dyDescent="0.25">
      <c r="A82" s="30">
        <v>45821</v>
      </c>
      <c r="B82" s="26" t="s">
        <v>48</v>
      </c>
      <c r="C82" s="12" t="s">
        <v>150</v>
      </c>
      <c r="D82" s="26" t="s">
        <v>167</v>
      </c>
      <c r="E82" s="13" t="s">
        <v>45</v>
      </c>
      <c r="F82" s="13" t="s">
        <v>66</v>
      </c>
      <c r="G82" s="27">
        <v>4</v>
      </c>
      <c r="H82" s="27">
        <v>4</v>
      </c>
      <c r="I82" s="27">
        <f t="shared" si="10"/>
        <v>0</v>
      </c>
      <c r="J82" s="26" t="s">
        <v>168</v>
      </c>
    </row>
    <row r="83" spans="1:10" ht="13.2" x14ac:dyDescent="0.25">
      <c r="A83" s="30">
        <v>45821</v>
      </c>
      <c r="B83" s="26" t="s">
        <v>48</v>
      </c>
      <c r="C83" s="12" t="s">
        <v>150</v>
      </c>
      <c r="D83" s="26" t="s">
        <v>169</v>
      </c>
      <c r="E83" s="13" t="s">
        <v>45</v>
      </c>
      <c r="F83" s="13" t="s">
        <v>66</v>
      </c>
      <c r="G83" s="27">
        <v>4</v>
      </c>
      <c r="H83" s="27">
        <v>4</v>
      </c>
      <c r="I83" s="27">
        <f t="shared" si="10"/>
        <v>0</v>
      </c>
      <c r="J83" s="26" t="s">
        <v>170</v>
      </c>
    </row>
    <row r="84" spans="1:10" ht="13.2" x14ac:dyDescent="0.25">
      <c r="A84" s="30">
        <v>45822</v>
      </c>
      <c r="B84" s="26" t="s">
        <v>48</v>
      </c>
      <c r="C84" s="12" t="s">
        <v>131</v>
      </c>
      <c r="D84" s="26" t="s">
        <v>132</v>
      </c>
      <c r="E84" s="13" t="s">
        <v>54</v>
      </c>
      <c r="F84" s="13" t="s">
        <v>61</v>
      </c>
      <c r="G84" s="27">
        <v>3</v>
      </c>
      <c r="H84" s="27">
        <v>3</v>
      </c>
      <c r="I84" s="27">
        <f t="shared" si="10"/>
        <v>0</v>
      </c>
      <c r="J84" s="26"/>
    </row>
    <row r="85" spans="1:10" ht="13.2" x14ac:dyDescent="0.25">
      <c r="A85" s="30">
        <v>45823</v>
      </c>
      <c r="B85" s="26" t="s">
        <v>48</v>
      </c>
      <c r="C85" s="12" t="s">
        <v>179</v>
      </c>
      <c r="D85" s="26" t="s">
        <v>180</v>
      </c>
      <c r="E85" s="13" t="s">
        <v>54</v>
      </c>
      <c r="F85" s="13" t="s">
        <v>62</v>
      </c>
      <c r="G85" s="27">
        <v>1</v>
      </c>
      <c r="H85" s="27">
        <v>1</v>
      </c>
      <c r="I85" s="27">
        <f t="shared" si="10"/>
        <v>0</v>
      </c>
      <c r="J85" s="26"/>
    </row>
    <row r="86" spans="1:10" ht="13.2" x14ac:dyDescent="0.25">
      <c r="A86" s="30"/>
      <c r="B86" s="26"/>
      <c r="C86" s="12" t="s">
        <v>15</v>
      </c>
      <c r="D86" s="26"/>
      <c r="E86" s="13"/>
      <c r="F86" s="13"/>
      <c r="G86" s="27"/>
      <c r="H86" s="27"/>
      <c r="I86" s="27">
        <f t="shared" si="10"/>
        <v>0</v>
      </c>
      <c r="J86" s="26"/>
    </row>
    <row r="87" spans="1:10" ht="13.2" x14ac:dyDescent="0.25">
      <c r="A87" s="18"/>
      <c r="B87" s="20"/>
      <c r="C87" s="20"/>
      <c r="D87" s="20"/>
      <c r="E87" s="20" t="s">
        <v>16</v>
      </c>
      <c r="F87" s="20"/>
      <c r="G87" s="23">
        <f t="shared" ref="G87:H87" si="11">SUM(G77:G86)</f>
        <v>31</v>
      </c>
      <c r="H87" s="23">
        <f t="shared" si="11"/>
        <v>31</v>
      </c>
      <c r="I87" s="23">
        <f t="shared" si="10"/>
        <v>0</v>
      </c>
      <c r="J87" s="20"/>
    </row>
    <row r="88" spans="1:10" ht="18.75" customHeight="1" x14ac:dyDescent="0.25">
      <c r="A88" s="50" t="s">
        <v>23</v>
      </c>
      <c r="B88" s="46"/>
      <c r="C88" s="46"/>
      <c r="D88" s="46"/>
      <c r="E88" s="46"/>
      <c r="F88" s="46"/>
      <c r="G88" s="46"/>
      <c r="H88" s="46"/>
      <c r="I88" s="46"/>
      <c r="J88" s="47"/>
    </row>
    <row r="89" spans="1:10" ht="13.2" x14ac:dyDescent="0.25">
      <c r="A89" s="37" t="s">
        <v>11</v>
      </c>
      <c r="B89" s="45" t="s">
        <v>12</v>
      </c>
      <c r="C89" s="46"/>
      <c r="D89" s="46"/>
      <c r="E89" s="46"/>
      <c r="F89" s="46"/>
      <c r="G89" s="46"/>
      <c r="H89" s="46"/>
      <c r="I89" s="46"/>
      <c r="J89" s="47"/>
    </row>
    <row r="90" spans="1:10" ht="28.5" customHeight="1" x14ac:dyDescent="0.25">
      <c r="A90" s="38" t="s">
        <v>13</v>
      </c>
      <c r="B90" s="45" t="s">
        <v>14</v>
      </c>
      <c r="C90" s="46"/>
      <c r="D90" s="46"/>
      <c r="E90" s="46"/>
      <c r="F90" s="46"/>
      <c r="G90" s="46"/>
      <c r="H90" s="46"/>
      <c r="I90" s="46"/>
      <c r="J90" s="47"/>
    </row>
    <row r="91" spans="1:10" ht="13.2" x14ac:dyDescent="0.25">
      <c r="A91" s="30">
        <v>45824</v>
      </c>
      <c r="B91" s="26" t="s">
        <v>48</v>
      </c>
      <c r="C91" s="12" t="s">
        <v>88</v>
      </c>
      <c r="D91" s="26" t="s">
        <v>171</v>
      </c>
      <c r="E91" s="13" t="s">
        <v>54</v>
      </c>
      <c r="F91" s="13" t="s">
        <v>66</v>
      </c>
      <c r="G91" s="27">
        <v>2</v>
      </c>
      <c r="H91" s="27">
        <v>2</v>
      </c>
      <c r="I91" s="27">
        <f t="shared" ref="I91:I100" si="12">H91-G91</f>
        <v>0</v>
      </c>
      <c r="J91" s="26"/>
    </row>
    <row r="92" spans="1:10" ht="13.2" x14ac:dyDescent="0.25">
      <c r="A92" s="30">
        <v>45824</v>
      </c>
      <c r="B92" s="26" t="s">
        <v>48</v>
      </c>
      <c r="C92" s="12" t="s">
        <v>115</v>
      </c>
      <c r="D92" s="26" t="s">
        <v>172</v>
      </c>
      <c r="E92" s="13" t="s">
        <v>45</v>
      </c>
      <c r="F92" s="13" t="s">
        <v>66</v>
      </c>
      <c r="G92" s="27">
        <v>2</v>
      </c>
      <c r="H92" s="27">
        <v>2</v>
      </c>
      <c r="I92" s="27">
        <f t="shared" si="12"/>
        <v>0</v>
      </c>
      <c r="J92" s="26"/>
    </row>
    <row r="93" spans="1:10" ht="13.2" x14ac:dyDescent="0.25">
      <c r="A93" s="30">
        <v>45825</v>
      </c>
      <c r="B93" s="26" t="s">
        <v>173</v>
      </c>
      <c r="C93" s="12" t="s">
        <v>159</v>
      </c>
      <c r="D93" s="26" t="s">
        <v>174</v>
      </c>
      <c r="E93" s="13" t="s">
        <v>45</v>
      </c>
      <c r="F93" s="13" t="s">
        <v>66</v>
      </c>
      <c r="G93" s="27">
        <v>1</v>
      </c>
      <c r="H93" s="27">
        <v>1</v>
      </c>
      <c r="I93" s="27">
        <f t="shared" si="12"/>
        <v>0</v>
      </c>
      <c r="J93" s="26"/>
    </row>
    <row r="94" spans="1:10" ht="13.2" x14ac:dyDescent="0.25">
      <c r="A94" s="30">
        <v>45825</v>
      </c>
      <c r="B94" s="26" t="s">
        <v>48</v>
      </c>
      <c r="C94" s="12" t="s">
        <v>123</v>
      </c>
      <c r="D94" s="26" t="s">
        <v>175</v>
      </c>
      <c r="E94" s="13" t="s">
        <v>54</v>
      </c>
      <c r="F94" s="13" t="s">
        <v>64</v>
      </c>
      <c r="G94" s="27">
        <v>4</v>
      </c>
      <c r="H94" s="27">
        <v>4</v>
      </c>
      <c r="I94" s="27">
        <f t="shared" si="12"/>
        <v>0</v>
      </c>
      <c r="J94" s="26"/>
    </row>
    <row r="95" spans="1:10" ht="13.2" x14ac:dyDescent="0.25">
      <c r="A95" s="30"/>
      <c r="B95" s="26" t="s">
        <v>48</v>
      </c>
      <c r="C95" s="12" t="s">
        <v>123</v>
      </c>
      <c r="D95" s="26" t="s">
        <v>176</v>
      </c>
      <c r="E95" s="13" t="s">
        <v>54</v>
      </c>
      <c r="F95" s="13" t="s">
        <v>64</v>
      </c>
      <c r="G95" s="27">
        <v>2</v>
      </c>
      <c r="H95" s="27">
        <v>2</v>
      </c>
      <c r="I95" s="27">
        <f t="shared" si="12"/>
        <v>0</v>
      </c>
      <c r="J95" s="26"/>
    </row>
    <row r="96" spans="1:10" ht="13.2" x14ac:dyDescent="0.25">
      <c r="A96" s="30">
        <v>45826</v>
      </c>
      <c r="B96" s="26" t="s">
        <v>48</v>
      </c>
      <c r="C96" s="12" t="s">
        <v>123</v>
      </c>
      <c r="D96" s="26" t="s">
        <v>177</v>
      </c>
      <c r="E96" s="13" t="s">
        <v>54</v>
      </c>
      <c r="F96" s="13" t="s">
        <v>62</v>
      </c>
      <c r="G96" s="27">
        <v>4</v>
      </c>
      <c r="H96" s="27">
        <v>4</v>
      </c>
      <c r="I96" s="27">
        <f t="shared" si="12"/>
        <v>0</v>
      </c>
      <c r="J96" s="26"/>
    </row>
    <row r="97" spans="1:10" ht="13.2" x14ac:dyDescent="0.25">
      <c r="A97" s="30">
        <v>45827</v>
      </c>
      <c r="B97" s="26" t="s">
        <v>48</v>
      </c>
      <c r="C97" s="12" t="s">
        <v>131</v>
      </c>
      <c r="D97" s="26" t="s">
        <v>132</v>
      </c>
      <c r="E97" s="13" t="s">
        <v>54</v>
      </c>
      <c r="F97" s="13" t="s">
        <v>61</v>
      </c>
      <c r="G97" s="27">
        <v>2</v>
      </c>
      <c r="H97" s="27">
        <v>2</v>
      </c>
      <c r="I97" s="27">
        <f t="shared" si="12"/>
        <v>0</v>
      </c>
      <c r="J97" s="26"/>
    </row>
    <row r="98" spans="1:10" ht="13.2" x14ac:dyDescent="0.25">
      <c r="A98" s="30"/>
      <c r="B98" s="26" t="s">
        <v>48</v>
      </c>
      <c r="C98" s="12" t="s">
        <v>131</v>
      </c>
      <c r="D98" s="26" t="s">
        <v>178</v>
      </c>
      <c r="E98" s="13" t="s">
        <v>54</v>
      </c>
      <c r="F98" s="13" t="s">
        <v>61</v>
      </c>
      <c r="G98" s="27">
        <v>4</v>
      </c>
      <c r="H98" s="27">
        <v>4</v>
      </c>
      <c r="I98" s="27">
        <f t="shared" si="12"/>
        <v>0</v>
      </c>
      <c r="J98" s="26"/>
    </row>
    <row r="99" spans="1:10" ht="13.2" x14ac:dyDescent="0.25">
      <c r="A99" s="30"/>
      <c r="B99" s="26"/>
      <c r="C99" s="12" t="s">
        <v>15</v>
      </c>
      <c r="D99" s="26"/>
      <c r="E99" s="13"/>
      <c r="F99" s="13"/>
      <c r="G99" s="27"/>
      <c r="H99" s="27"/>
      <c r="I99" s="27">
        <f t="shared" si="12"/>
        <v>0</v>
      </c>
      <c r="J99" s="26"/>
    </row>
    <row r="100" spans="1:10" ht="13.2" x14ac:dyDescent="0.25">
      <c r="A100" s="30"/>
      <c r="B100" s="26"/>
      <c r="C100" s="12" t="s">
        <v>15</v>
      </c>
      <c r="D100" s="26"/>
      <c r="E100" s="13"/>
      <c r="F100" s="13"/>
      <c r="G100" s="27"/>
      <c r="H100" s="27"/>
      <c r="I100" s="27">
        <f t="shared" si="12"/>
        <v>0</v>
      </c>
      <c r="J100" s="26"/>
    </row>
    <row r="101" spans="1:10" ht="13.2" x14ac:dyDescent="0.25">
      <c r="A101" s="18"/>
      <c r="B101" s="20"/>
      <c r="C101" s="20"/>
      <c r="D101" s="20"/>
      <c r="E101" s="20" t="s">
        <v>16</v>
      </c>
      <c r="F101" s="20"/>
      <c r="G101" s="23">
        <f>SUM(G91:G100)</f>
        <v>21</v>
      </c>
      <c r="H101" s="23">
        <f>SUM(H91:H100)</f>
        <v>21</v>
      </c>
      <c r="I101" s="23">
        <f>H101-G101</f>
        <v>0</v>
      </c>
      <c r="J101" s="20"/>
    </row>
    <row r="102" spans="1:10" ht="13.2" x14ac:dyDescent="0.25">
      <c r="A102" s="18"/>
      <c r="B102" s="20"/>
      <c r="C102" s="20"/>
      <c r="D102" s="20"/>
      <c r="E102" s="20" t="s">
        <v>16</v>
      </c>
      <c r="F102" s="20"/>
      <c r="G102" s="23"/>
      <c r="H102" s="43"/>
      <c r="I102" s="23"/>
      <c r="J102" s="20"/>
    </row>
    <row r="103" spans="1:10" ht="13.2" x14ac:dyDescent="0.25">
      <c r="G103" s="39"/>
      <c r="H103" s="44"/>
      <c r="I103" s="27"/>
    </row>
    <row r="104" spans="1:10" ht="13.2" x14ac:dyDescent="0.25">
      <c r="E104" s="40" t="s">
        <v>24</v>
      </c>
      <c r="F104" s="40"/>
      <c r="G104" s="41">
        <f>G17+G31+G45+G59+G73+G87+G101</f>
        <v>217</v>
      </c>
      <c r="H104" s="41">
        <f>H17+H31+H45+H59+H73+H87+H101</f>
        <v>217</v>
      </c>
      <c r="I104" s="41">
        <f>H104-G104</f>
        <v>0</v>
      </c>
    </row>
  </sheetData>
  <autoFilter ref="A1:J17" xr:uid="{00000000-0009-0000-0000-000000000000}"/>
  <customSheetViews>
    <customSheetView guid="{8BAC9A6B-5D32-4E8D-967D-E17D357516F8}" filter="1" showAutoFilter="1">
      <pageMargins left="0" right="0" top="0" bottom="0" header="0" footer="0"/>
      <autoFilter ref="A1:K15" xr:uid="{9DA9613F-59F3-47EA-9864-D61CA4A4B3C2}">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1">
    <mergeCell ref="A2:J2"/>
    <mergeCell ref="B3:J3"/>
    <mergeCell ref="B4:J4"/>
    <mergeCell ref="A18:J18"/>
    <mergeCell ref="B19:J19"/>
    <mergeCell ref="B20:J20"/>
    <mergeCell ref="A32:J32"/>
    <mergeCell ref="B33:J33"/>
    <mergeCell ref="B34:J34"/>
    <mergeCell ref="A46:J46"/>
    <mergeCell ref="B47:J47"/>
    <mergeCell ref="B48:J48"/>
    <mergeCell ref="A60:J60"/>
    <mergeCell ref="B61:J61"/>
    <mergeCell ref="B62:J62"/>
    <mergeCell ref="B90:J90"/>
    <mergeCell ref="A74:J74"/>
    <mergeCell ref="B75:J75"/>
    <mergeCell ref="B76:J76"/>
    <mergeCell ref="A88:J88"/>
    <mergeCell ref="B89:J89"/>
  </mergeCells>
  <conditionalFormatting sqref="B5:B16 B19:B30 B35:B44 B49:B58 B63:B72 B77:B86 B91:B100">
    <cfRule type="containsText" dxfId="10" priority="1" operator="containsText" text="Unplanned">
      <formula>NOT(ISERROR(SEARCH(("Unplanned"),(B5))))</formula>
    </cfRule>
    <cfRule type="containsText" dxfId="9" priority="2" operator="containsText" text="Planned">
      <formula>NOT(ISERROR(SEARCH(("Planned"),(B5))))</formula>
    </cfRule>
    <cfRule type="containsText" dxfId="8" priority="3" operator="containsText" text="In-Progress">
      <formula>NOT(ISERROR(SEARCH(("In-Progress"),(B5))))</formula>
    </cfRule>
    <cfRule type="containsText" dxfId="7" priority="4" operator="containsText" text="Blocked">
      <formula>NOT(ISERROR(SEARCH(("Blocked"),(B5))))</formula>
    </cfRule>
    <cfRule type="containsText" dxfId="6" priority="5" operator="containsText" text="Done">
      <formula>NOT(ISERROR(SEARCH(("Done"),(B5))))</formula>
    </cfRule>
  </conditionalFormatting>
  <conditionalFormatting sqref="B5:B17 B19:B31 B33:B45 B47:B59 B61:B73 B75:B87 B89:B101">
    <cfRule type="containsText" dxfId="5" priority="6" operator="containsText" text="Unplanned">
      <formula>NOT(ISERROR(SEARCH(("Unplanned"),(B5))))</formula>
    </cfRule>
    <cfRule type="containsText" dxfId="4" priority="7" operator="containsText" text="Cancelled">
      <formula>NOT(ISERROR(SEARCH(("Cancelled"),(B5))))</formula>
    </cfRule>
  </conditionalFormatting>
  <conditionalFormatting sqref="G1 G3:G17 G21:G31 G35:G45 G49:G59 G63:G73 G77:G87 G91:G104">
    <cfRule type="cellIs" dxfId="3" priority="10" operator="greaterThan">
      <formula>4</formula>
    </cfRule>
  </conditionalFormatting>
  <conditionalFormatting sqref="H1:H104">
    <cfRule type="containsBlanks" dxfId="2" priority="11">
      <formula>LEN(TRIM(H1))=0</formula>
    </cfRule>
  </conditionalFormatting>
  <conditionalFormatting sqref="I5:I17 I21:I31 I35:I45 I49:I59 I63:I73 I77:I87 I91:I104">
    <cfRule type="expression" dxfId="1" priority="8">
      <formula>H5/G5&gt;=1.5</formula>
    </cfRule>
    <cfRule type="expression" dxfId="0" priority="9">
      <formula>H5/G5&lt;=0.5</formula>
    </cfRule>
  </conditionalFormatting>
  <pageMargins left="0.7" right="0.7" top="0.75" bottom="0.75" header="0.3" footer="0.3"/>
  <pageSetup paperSize="9" scale="52" fitToHeight="0" orientation="landscape" horizontalDpi="0" verticalDpi="0"/>
  <extLst>
    <ext xmlns:x14="http://schemas.microsoft.com/office/spreadsheetml/2009/9/main" uri="{CCE6A557-97BC-4b89-ADB6-D9C93CAAB3DF}">
      <x14:dataValidations xmlns:xm="http://schemas.microsoft.com/office/excel/2006/main" count="3">
        <x14:dataValidation type="list" allowBlank="1" xr:uid="{00000000-0002-0000-0000-000001000000}">
          <x14:formula1>
            <xm:f>'Drop-downs'!$B$2:$B$16</xm:f>
          </x14:formula1>
          <xm:sqref>E91:E100 E21:E30 E49:E58 E63:E72 E77:E86 E5:E16 E35:E38 E40:E44</xm:sqref>
        </x14:dataValidation>
        <x14:dataValidation type="list" allowBlank="1" xr:uid="{00000000-0002-0000-0000-000002000000}">
          <x14:formula1>
            <xm:f>'Drop-downs'!$A$2:$A$9</xm:f>
          </x14:formula1>
          <xm:sqref>B91:B100 B21:B30 B35:B44 B49:B58 B63:B72 B77:B86 B5:B16</xm:sqref>
        </x14:dataValidation>
        <x14:dataValidation type="list" allowBlank="1" xr:uid="{022AB9B7-3090-420D-A92F-6C31608AE4FF}">
          <x14:formula1>
            <xm:f>'Drop-downs'!$C$2:$C$9</xm:f>
          </x14:formula1>
          <xm:sqref>F21:F30 F35:F44 F49:F58 F63:F72 F77:F86 F91:F100 F5:F16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1"/>
  <sheetViews>
    <sheetView tabSelected="1" workbookViewId="0">
      <selection activeCell="E2" sqref="E2"/>
    </sheetView>
  </sheetViews>
  <sheetFormatPr defaultColWidth="14.44140625" defaultRowHeight="15" customHeight="1" x14ac:dyDescent="0.25"/>
  <cols>
    <col min="2" max="2" width="27" customWidth="1"/>
    <col min="11" max="11" width="20.44140625" customWidth="1"/>
  </cols>
  <sheetData>
    <row r="2" spans="2:11" ht="13.8" x14ac:dyDescent="0.3">
      <c r="B2" s="16" t="s">
        <v>25</v>
      </c>
      <c r="C2" s="2" t="s">
        <v>26</v>
      </c>
      <c r="D2" s="2" t="s">
        <v>27</v>
      </c>
      <c r="E2" s="2" t="s">
        <v>28</v>
      </c>
      <c r="F2" s="2" t="s">
        <v>29</v>
      </c>
      <c r="G2" s="2" t="s">
        <v>30</v>
      </c>
      <c r="H2" s="2" t="s">
        <v>31</v>
      </c>
      <c r="I2" s="2" t="s">
        <v>32</v>
      </c>
      <c r="J2" s="2" t="s">
        <v>33</v>
      </c>
      <c r="K2" s="4" t="s">
        <v>34</v>
      </c>
    </row>
    <row r="3" spans="2:11" ht="13.8" x14ac:dyDescent="0.3">
      <c r="B3" s="6" t="str">
        <f>'Drop-downs'!C2</f>
        <v>-</v>
      </c>
      <c r="C3" s="8"/>
      <c r="D3" s="8"/>
      <c r="E3" s="8"/>
      <c r="F3" s="8"/>
      <c r="G3" s="8"/>
      <c r="H3" s="8"/>
      <c r="I3" s="8"/>
      <c r="J3" s="8"/>
      <c r="K3" s="9">
        <f t="shared" ref="K3:K10" si="0">SUM(C3:J3)</f>
        <v>0</v>
      </c>
    </row>
    <row r="4" spans="2:11" ht="13.8" x14ac:dyDescent="0.3">
      <c r="B4" s="6" t="str">
        <f>'Drop-downs'!C3</f>
        <v>ILO 1.3</v>
      </c>
      <c r="C4" s="14" cm="1">
        <f t="array" ref="C4">IFERROR(SUM(_xlfn._xlws.FILTER('Worklog_Tasks&amp;Times'!$H$5:$H$16,'Worklog_Tasks&amp;Times'!$F$5:$F$16=$B4)),0)</f>
        <v>12</v>
      </c>
      <c r="D4" s="14" cm="1">
        <f t="array" ref="D4">IFERROR(SUM(_xlfn._xlws.FILTER('Worklog_Tasks&amp;Times'!$H$21:$H$30,'Worklog_Tasks&amp;Times'!$F$21:$F$30=$B4)),0)</f>
        <v>5</v>
      </c>
      <c r="E4" s="14" cm="1">
        <f t="array" ref="E4">IFERROR(SUM(_xlfn._xlws.FILTER('Worklog_Tasks&amp;Times'!$H$35:$H$44,'Worklog_Tasks&amp;Times'!$F$35:$F$44=$B4)),0)</f>
        <v>6</v>
      </c>
      <c r="F4" s="14" cm="1">
        <f t="array" ref="F4">IFERROR(SUM(_xlfn._xlws.FILTER('Worklog_Tasks&amp;Times'!$H$49:$H$58,'Worklog_Tasks&amp;Times'!$F$49:$F$58=$B4)),0)</f>
        <v>0</v>
      </c>
      <c r="G4" s="14" cm="1">
        <f t="array" ref="G4">IFERROR(SUM(_xlfn._xlws.FILTER('Worklog_Tasks&amp;Times'!$H$63:$H$72,'Worklog_Tasks&amp;Times'!$F$63:$F$72=$B4)),0)</f>
        <v>0</v>
      </c>
      <c r="H4" s="14" cm="1">
        <f t="array" ref="H4">IFERROR(SUM(_xlfn._xlws.FILTER('Worklog_Tasks&amp;Times'!$H$77:$H$86,'Worklog_Tasks&amp;Times'!$F$77:$F$86=$B4)),0)</f>
        <v>3</v>
      </c>
      <c r="I4" s="14" cm="1">
        <f t="array" ref="I4">IFERROR(SUM(_xlfn._xlws.FILTER('Worklog_Tasks&amp;Times'!$H$91:$H$100,'Worklog_Tasks&amp;Times'!$F$91:$F$100=$B4)),0)</f>
        <v>6</v>
      </c>
      <c r="J4" s="14" cm="1">
        <f t="array" ref="J4">IFERROR(SUM(_xlfn._xlws.FILTER('Worklog_Tasks&amp;Times'!#REF!,'Worklog_Tasks&amp;Times'!#REF!=$B4)),0)</f>
        <v>0</v>
      </c>
      <c r="K4" s="9">
        <f t="shared" si="0"/>
        <v>32</v>
      </c>
    </row>
    <row r="5" spans="2:11" ht="13.8" x14ac:dyDescent="0.3">
      <c r="B5" s="6" t="str">
        <f>'Drop-downs'!C4</f>
        <v>ILO 2.3</v>
      </c>
      <c r="C5" s="14" cm="1">
        <f t="array" ref="C5">IFERROR(SUM(_xlfn._xlws.FILTER('Worklog_Tasks&amp;Times'!$H$5:$H$16,'Worklog_Tasks&amp;Times'!$F$5:$F$16=$B5)),0)</f>
        <v>0</v>
      </c>
      <c r="D5" s="14" cm="1">
        <f t="array" ref="D5">IFERROR(SUM(_xlfn._xlws.FILTER('Worklog_Tasks&amp;Times'!$H$21:$H$30,'Worklog_Tasks&amp;Times'!$F$21:$F$30=$B5)),0)</f>
        <v>0</v>
      </c>
      <c r="E5" s="14" cm="1">
        <f t="array" ref="E5">IFERROR(SUM(_xlfn._xlws.FILTER('Worklog_Tasks&amp;Times'!$H$35:$H$44,'Worklog_Tasks&amp;Times'!$F$35:$F$44=$B5)),0)</f>
        <v>0</v>
      </c>
      <c r="F5" s="14" cm="1">
        <f t="array" ref="F5">IFERROR(SUM(_xlfn._xlws.FILTER('Worklog_Tasks&amp;Times'!$H$49:$H$58,'Worklog_Tasks&amp;Times'!$F$49:$F$58=$B5)),0)</f>
        <v>0</v>
      </c>
      <c r="G5" s="14" cm="1">
        <f t="array" ref="G5">IFERROR(SUM(_xlfn._xlws.FILTER('Worklog_Tasks&amp;Times'!$H$63:$H$72,'Worklog_Tasks&amp;Times'!$F$63:$F$72=$B5)),0)</f>
        <v>0</v>
      </c>
      <c r="H5" s="14" cm="1">
        <f t="array" ref="H5">IFERROR(SUM(_xlfn._xlws.FILTER('Worklog_Tasks&amp;Times'!$H$77:$H$86,'Worklog_Tasks&amp;Times'!$F$77:$F$86=$B5)),0)</f>
        <v>5</v>
      </c>
      <c r="I5" s="14" cm="1">
        <f t="array" ref="I5">IFERROR(SUM(_xlfn._xlws.FILTER('Worklog_Tasks&amp;Times'!$H$91:$H$100,'Worklog_Tasks&amp;Times'!$F$91:$F$100=$B5)),0)</f>
        <v>4</v>
      </c>
      <c r="J5" s="14" cm="1">
        <f t="array" ref="J5">IFERROR(SUM(_xlfn._xlws.FILTER('Worklog_Tasks&amp;Times'!#REF!,'Worklog_Tasks&amp;Times'!#REF!=$B5)),0)</f>
        <v>0</v>
      </c>
      <c r="K5" s="9">
        <f t="shared" si="0"/>
        <v>9</v>
      </c>
    </row>
    <row r="6" spans="2:11" ht="13.8" x14ac:dyDescent="0.3">
      <c r="B6" s="6" t="str">
        <f>'Drop-downs'!C5</f>
        <v>ILO 3.2</v>
      </c>
      <c r="C6" s="14" cm="1">
        <f t="array" ref="C6">IFERROR(SUM(_xlfn._xlws.FILTER('Worklog_Tasks&amp;Times'!$H$5:$H$16,'Worklog_Tasks&amp;Times'!$F$5:$F$16=$B6)),0)</f>
        <v>0</v>
      </c>
      <c r="D6" s="14" cm="1">
        <f t="array" ref="D6">IFERROR(SUM(_xlfn._xlws.FILTER('Worklog_Tasks&amp;Times'!$H$21:$H$30,'Worklog_Tasks&amp;Times'!$F$21:$F$30=$B6)),0)</f>
        <v>7.5</v>
      </c>
      <c r="E6" s="14" cm="1">
        <f t="array" ref="E6">IFERROR(SUM(_xlfn._xlws.FILTER('Worklog_Tasks&amp;Times'!$H$35:$H$44,'Worklog_Tasks&amp;Times'!$F$35:$F$44=$B6)),0)</f>
        <v>0</v>
      </c>
      <c r="F6" s="14" cm="1">
        <f t="array" ref="F6">IFERROR(SUM(_xlfn._xlws.FILTER('Worklog_Tasks&amp;Times'!$H$49:$H$58,'Worklog_Tasks&amp;Times'!$F$49:$F$58=$B6)),0)</f>
        <v>4</v>
      </c>
      <c r="G6" s="14" cm="1">
        <f t="array" ref="G6">IFERROR(SUM(_xlfn._xlws.FILTER('Worklog_Tasks&amp;Times'!$H$63:$H$72,'Worklog_Tasks&amp;Times'!$F$63:$F$72=$B6)),0)</f>
        <v>0</v>
      </c>
      <c r="H6" s="14" cm="1">
        <f t="array" ref="H6">IFERROR(SUM(_xlfn._xlws.FILTER('Worklog_Tasks&amp;Times'!$H$77:$H$86,'Worklog_Tasks&amp;Times'!$F$77:$F$86=$B6)),0)</f>
        <v>0</v>
      </c>
      <c r="I6" s="14" cm="1">
        <f t="array" ref="I6">IFERROR(SUM(_xlfn._xlws.FILTER('Worklog_Tasks&amp;Times'!$H$91:$H$100,'Worklog_Tasks&amp;Times'!$F$91:$F$100=$B6)),0)</f>
        <v>0</v>
      </c>
      <c r="J6" s="14" cm="1">
        <f t="array" ref="J6">IFERROR(SUM(_xlfn._xlws.FILTER('Worklog_Tasks&amp;Times'!#REF!,'Worklog_Tasks&amp;Times'!#REF!=$B6)),0)</f>
        <v>0</v>
      </c>
      <c r="K6" s="9">
        <f t="shared" si="0"/>
        <v>11.5</v>
      </c>
    </row>
    <row r="7" spans="2:11" ht="13.8" x14ac:dyDescent="0.3">
      <c r="B7" s="6" t="str">
        <f>'Drop-downs'!C6</f>
        <v>ILO 4.1</v>
      </c>
      <c r="C7" s="14" cm="1">
        <f t="array" ref="C7">IFERROR(SUM(_xlfn._xlws.FILTER('Worklog_Tasks&amp;Times'!$H$5:$H$16,'Worklog_Tasks&amp;Times'!$F$5:$F$16=$B7)),0)</f>
        <v>0</v>
      </c>
      <c r="D7" s="14" cm="1">
        <f t="array" ref="D7">IFERROR(SUM(_xlfn._xlws.FILTER('Worklog_Tasks&amp;Times'!$H$21:$H$30,'Worklog_Tasks&amp;Times'!$F$21:$F$30=$B7)),0)</f>
        <v>0</v>
      </c>
      <c r="E7" s="14" cm="1">
        <f t="array" ref="E7">IFERROR(SUM(_xlfn._xlws.FILTER('Worklog_Tasks&amp;Times'!$H$35:$H$44,'Worklog_Tasks&amp;Times'!$F$35:$F$44=$B7)),0)</f>
        <v>6</v>
      </c>
      <c r="F7" s="14" cm="1">
        <f t="array" ref="F7">IFERROR(SUM(_xlfn._xlws.FILTER('Worklog_Tasks&amp;Times'!$H$49:$H$58,'Worklog_Tasks&amp;Times'!$F$49:$F$58=$B7)),0)</f>
        <v>16</v>
      </c>
      <c r="G7" s="14" cm="1">
        <f t="array" ref="G7">IFERROR(SUM(_xlfn._xlws.FILTER('Worklog_Tasks&amp;Times'!$H$63:$H$72,'Worklog_Tasks&amp;Times'!$F$63:$F$72=$B7)),0)</f>
        <v>0</v>
      </c>
      <c r="H7" s="14" cm="1">
        <f t="array" ref="H7">IFERROR(SUM(_xlfn._xlws.FILTER('Worklog_Tasks&amp;Times'!$H$77:$H$86,'Worklog_Tasks&amp;Times'!$F$77:$F$86=$B7)),0)</f>
        <v>2</v>
      </c>
      <c r="I7" s="14" cm="1">
        <f t="array" ref="I7">IFERROR(SUM(_xlfn._xlws.FILTER('Worklog_Tasks&amp;Times'!$H$91:$H$100,'Worklog_Tasks&amp;Times'!$F$91:$F$100=$B7)),0)</f>
        <v>6</v>
      </c>
      <c r="J7" s="14" cm="1">
        <f t="array" ref="J7">IFERROR(SUM(_xlfn._xlws.FILTER('Worklog_Tasks&amp;Times'!#REF!,'Worklog_Tasks&amp;Times'!#REF!=$B7)),0)</f>
        <v>0</v>
      </c>
      <c r="K7" s="9">
        <f t="shared" si="0"/>
        <v>30</v>
      </c>
    </row>
    <row r="8" spans="2:11" ht="13.8" x14ac:dyDescent="0.3">
      <c r="B8" s="6" t="str">
        <f>'Drop-downs'!C7</f>
        <v>ILO 6.2</v>
      </c>
      <c r="C8" s="14" cm="1">
        <f t="array" ref="C8">IFERROR(SUM(_xlfn._xlws.FILTER('Worklog_Tasks&amp;Times'!$H$5:$H$16,'Worklog_Tasks&amp;Times'!$F$5:$F$16=$B8)),0)</f>
        <v>21</v>
      </c>
      <c r="D8" s="14" cm="1">
        <f t="array" ref="D8">IFERROR(SUM(_xlfn._xlws.FILTER('Worklog_Tasks&amp;Times'!$H$21:$H$30,'Worklog_Tasks&amp;Times'!$F$21:$F$30=$B8)),0)</f>
        <v>0</v>
      </c>
      <c r="E8" s="14" cm="1">
        <f t="array" ref="E8">IFERROR(SUM(_xlfn._xlws.FILTER('Worklog_Tasks&amp;Times'!$H$35:$H$44,'Worklog_Tasks&amp;Times'!$F$35:$F$44=$B8)),0)</f>
        <v>0</v>
      </c>
      <c r="F8" s="14" cm="1">
        <f t="array" ref="F8">IFERROR(SUM(_xlfn._xlws.FILTER('Worklog_Tasks&amp;Times'!$H$49:$H$58,'Worklog_Tasks&amp;Times'!$F$49:$F$58=$B8)),0)</f>
        <v>0</v>
      </c>
      <c r="G8" s="14" cm="1">
        <f t="array" ref="G8">IFERROR(SUM(_xlfn._xlws.FILTER('Worklog_Tasks&amp;Times'!$H$63:$H$72,'Worklog_Tasks&amp;Times'!$F$63:$F$72=$B8)),0)</f>
        <v>0</v>
      </c>
      <c r="H8" s="14" cm="1">
        <f t="array" ref="H8">IFERROR(SUM(_xlfn._xlws.FILTER('Worklog_Tasks&amp;Times'!$H$77:$H$86,'Worklog_Tasks&amp;Times'!$F$77:$F$86=$B8)),0)</f>
        <v>0</v>
      </c>
      <c r="I8" s="14" cm="1">
        <f t="array" ref="I8">IFERROR(SUM(_xlfn._xlws.FILTER('Worklog_Tasks&amp;Times'!$H$91:$H$100,'Worklog_Tasks&amp;Times'!$F$91:$F$100=$B8)),0)</f>
        <v>0</v>
      </c>
      <c r="J8" s="14" cm="1">
        <f t="array" ref="J8">IFERROR(SUM(_xlfn._xlws.FILTER('Worklog_Tasks&amp;Times'!#REF!,'Worklog_Tasks&amp;Times'!#REF!=$B8)),0)</f>
        <v>0</v>
      </c>
      <c r="K8" s="9">
        <f t="shared" ref="K8" si="1">SUM(C8:J8)</f>
        <v>21</v>
      </c>
    </row>
    <row r="9" spans="2:11" ht="13.8" x14ac:dyDescent="0.3">
      <c r="B9" s="6" t="str">
        <f>'Drop-downs'!C8</f>
        <v>ILO 8.2</v>
      </c>
      <c r="C9" s="14" cm="1">
        <f t="array" ref="C9">IFERROR(SUM(_xlfn._xlws.FILTER('Worklog_Tasks&amp;Times'!$H$5:$H$16,'Worklog_Tasks&amp;Times'!$F$5:$F$16=$B9)),0)</f>
        <v>0</v>
      </c>
      <c r="D9" s="14" cm="1">
        <f t="array" ref="D9">IFERROR(SUM(_xlfn._xlws.FILTER('Worklog_Tasks&amp;Times'!$H$21:$H$30,'Worklog_Tasks&amp;Times'!$F$21:$F$30=$B9)),0)</f>
        <v>22.5</v>
      </c>
      <c r="E9" s="14" cm="1">
        <f t="array" ref="E9">IFERROR(SUM(_xlfn._xlws.FILTER('Worklog_Tasks&amp;Times'!$H$35:$H$44,'Worklog_Tasks&amp;Times'!$F$35:$F$44=$B9)),0)</f>
        <v>20</v>
      </c>
      <c r="F9" s="14" cm="1">
        <f t="array" ref="F9">IFERROR(SUM(_xlfn._xlws.FILTER('Worklog_Tasks&amp;Times'!$H$49:$H$58,'Worklog_Tasks&amp;Times'!$F$49:$F$58=$B9)),0)</f>
        <v>11</v>
      </c>
      <c r="G9" s="14" cm="1">
        <f t="array" ref="G9">IFERROR(SUM(_xlfn._xlws.FILTER('Worklog_Tasks&amp;Times'!$H$63:$H$72,'Worklog_Tasks&amp;Times'!$F$63:$F$72=$B9)),0)</f>
        <v>25</v>
      </c>
      <c r="H9" s="14" cm="1">
        <f t="array" ref="H9">IFERROR(SUM(_xlfn._xlws.FILTER('Worklog_Tasks&amp;Times'!$H$77:$H$86,'Worklog_Tasks&amp;Times'!$F$77:$F$86=$B9)),0)</f>
        <v>12</v>
      </c>
      <c r="I9" s="14" cm="1">
        <f t="array" ref="I9">IFERROR(SUM(_xlfn._xlws.FILTER('Worklog_Tasks&amp;Times'!$H$91:$H$100,'Worklog_Tasks&amp;Times'!$F$91:$F$100=$B9)),0)</f>
        <v>5</v>
      </c>
      <c r="J9" s="14" cm="1">
        <f t="array" ref="J9">IFERROR(SUM(_xlfn._xlws.FILTER('Worklog_Tasks&amp;Times'!#REF!,'Worklog_Tasks&amp;Times'!#REF!=$B9)),0)</f>
        <v>0</v>
      </c>
      <c r="K9" s="9">
        <f t="shared" si="0"/>
        <v>95.5</v>
      </c>
    </row>
    <row r="10" spans="2:11" ht="13.8" x14ac:dyDescent="0.3">
      <c r="B10" s="6" t="str">
        <f>'Drop-downs'!C9</f>
        <v>ILO 9.1</v>
      </c>
      <c r="C10" s="14" cm="1">
        <f t="array" ref="C10">IFERROR(SUM(_xlfn._xlws.FILTER('Worklog_Tasks&amp;Times'!$H$5:$H$16,'Worklog_Tasks&amp;Times'!$F$5:$F$16=$B10)),0)</f>
        <v>0</v>
      </c>
      <c r="D10" s="14" cm="1">
        <f t="array" ref="D10">IFERROR(SUM(_xlfn._xlws.FILTER('Worklog_Tasks&amp;Times'!$H$21:$H$30,'Worklog_Tasks&amp;Times'!$F$21:$F$30=$B10)),0)</f>
        <v>0</v>
      </c>
      <c r="E10" s="14" cm="1">
        <f t="array" ref="E10">IFERROR(SUM(_xlfn._xlws.FILTER('Worklog_Tasks&amp;Times'!$H$35:$H$44,'Worklog_Tasks&amp;Times'!$F$35:$F$44=$B10)),0)</f>
        <v>0</v>
      </c>
      <c r="F10" s="14" cm="1">
        <f t="array" ref="F10">IFERROR(SUM(_xlfn._xlws.FILTER('Worklog_Tasks&amp;Times'!$H$49:$H$58,'Worklog_Tasks&amp;Times'!$F$49:$F$58=$B10)),0)</f>
        <v>0</v>
      </c>
      <c r="G10" s="14" cm="1">
        <f t="array" ref="G10">IFERROR(SUM(_xlfn._xlws.FILTER('Worklog_Tasks&amp;Times'!$H$63:$H$72,'Worklog_Tasks&amp;Times'!$F$63:$F$72=$B10)),0)</f>
        <v>7</v>
      </c>
      <c r="H10" s="14" cm="1">
        <f t="array" ref="H10">IFERROR(SUM(_xlfn._xlws.FILTER('Worklog_Tasks&amp;Times'!$H$77:$H$86,'Worklog_Tasks&amp;Times'!$F$77:$F$86=$B10)),0)</f>
        <v>9</v>
      </c>
      <c r="I10" s="14" cm="1">
        <f t="array" ref="I10">IFERROR(SUM(_xlfn._xlws.FILTER('Worklog_Tasks&amp;Times'!$H$91:$H$100,'Worklog_Tasks&amp;Times'!$F$91:$F$100=$B10)),0)</f>
        <v>0</v>
      </c>
      <c r="J10" s="14" cm="1">
        <f t="array" ref="J10">IFERROR(SUM(_xlfn._xlws.FILTER('Worklog_Tasks&amp;Times'!#REF!,'Worklog_Tasks&amp;Times'!#REF!=$B10)),0)</f>
        <v>0</v>
      </c>
      <c r="K10" s="9">
        <f t="shared" si="0"/>
        <v>16</v>
      </c>
    </row>
    <row r="11" spans="2:11" ht="13.8" x14ac:dyDescent="0.3">
      <c r="B11" s="16" t="s">
        <v>35</v>
      </c>
      <c r="C11" s="17">
        <f>SUM(C3:C10)</f>
        <v>33</v>
      </c>
      <c r="D11" s="17">
        <f t="shared" ref="D11:J11" si="2">SUM(D3:D10)</f>
        <v>35</v>
      </c>
      <c r="E11" s="17">
        <f t="shared" si="2"/>
        <v>32</v>
      </c>
      <c r="F11" s="17">
        <f t="shared" si="2"/>
        <v>31</v>
      </c>
      <c r="G11" s="17">
        <f t="shared" si="2"/>
        <v>32</v>
      </c>
      <c r="H11" s="17">
        <f t="shared" si="2"/>
        <v>31</v>
      </c>
      <c r="I11" s="17">
        <f t="shared" si="2"/>
        <v>21</v>
      </c>
      <c r="J11" s="17">
        <f t="shared" si="2"/>
        <v>0</v>
      </c>
      <c r="K11" s="19"/>
    </row>
    <row r="12" spans="2:11" ht="13.8" x14ac:dyDescent="0.3">
      <c r="B12" s="21"/>
      <c r="C12" s="22"/>
      <c r="D12" s="22"/>
      <c r="E12" s="22"/>
      <c r="F12" s="22"/>
      <c r="G12" s="22"/>
      <c r="H12" s="22"/>
      <c r="I12" s="22"/>
      <c r="J12" s="22"/>
      <c r="K12" s="22"/>
    </row>
    <row r="13" spans="2:11" ht="15" customHeight="1" x14ac:dyDescent="0.25">
      <c r="B13" s="63" t="s">
        <v>36</v>
      </c>
      <c r="C13" s="64"/>
      <c r="D13" s="64"/>
      <c r="E13" s="64"/>
      <c r="F13" s="64"/>
      <c r="G13" s="64"/>
      <c r="H13" s="64"/>
      <c r="I13" s="64"/>
      <c r="J13" s="64"/>
      <c r="K13" s="64"/>
    </row>
    <row r="17" spans="2:6" ht="15" customHeight="1" x14ac:dyDescent="0.25">
      <c r="B17" s="62" t="s">
        <v>60</v>
      </c>
      <c r="C17" s="62"/>
      <c r="D17" s="62"/>
      <c r="E17" s="62"/>
      <c r="F17" s="62"/>
    </row>
    <row r="18" spans="2:6" ht="15" customHeight="1" x14ac:dyDescent="0.25">
      <c r="B18" s="62"/>
      <c r="C18" s="62"/>
      <c r="D18" s="62"/>
      <c r="E18" s="62"/>
      <c r="F18" s="62"/>
    </row>
    <row r="19" spans="2:6" ht="15" customHeight="1" x14ac:dyDescent="0.25">
      <c r="B19" s="62"/>
      <c r="C19" s="62"/>
      <c r="D19" s="62"/>
      <c r="E19" s="62"/>
      <c r="F19" s="62"/>
    </row>
    <row r="20" spans="2:6" ht="15" customHeight="1" x14ac:dyDescent="0.25">
      <c r="B20" s="62"/>
      <c r="C20" s="62"/>
      <c r="D20" s="62"/>
      <c r="E20" s="62"/>
      <c r="F20" s="62"/>
    </row>
    <row r="21" spans="2:6" ht="15" customHeight="1" x14ac:dyDescent="0.25">
      <c r="B21" s="62"/>
      <c r="C21" s="62"/>
      <c r="D21" s="62"/>
      <c r="E21" s="62"/>
      <c r="F21" s="62"/>
    </row>
  </sheetData>
  <mergeCells count="2">
    <mergeCell ref="B17:F21"/>
    <mergeCell ref="B13:K13"/>
  </mergeCells>
  <conditionalFormatting sqref="C11:J11">
    <cfRule type="colorScale" priority="1">
      <colorScale>
        <cfvo type="formula" val="20"/>
        <cfvo type="formula" val="40"/>
        <color rgb="FFE67C73"/>
        <color rgb="FF57BB8A"/>
      </colorScale>
    </cfRule>
  </conditionalFormatting>
  <pageMargins left="0.7" right="0.7" top="0.75" bottom="0.75" header="0.3" footer="0.3"/>
  <ignoredErrors>
    <ignoredError sqref="D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10" sqref="C10"/>
    </sheetView>
  </sheetViews>
  <sheetFormatPr defaultColWidth="14.44140625" defaultRowHeight="15" customHeight="1" x14ac:dyDescent="0.25"/>
  <cols>
    <col min="1" max="6" width="14.44140625" customWidth="1"/>
  </cols>
  <sheetData>
    <row r="1" spans="1:3" ht="15.75" customHeight="1" x14ac:dyDescent="0.25">
      <c r="A1" s="1" t="s">
        <v>37</v>
      </c>
      <c r="B1" s="1" t="s">
        <v>4</v>
      </c>
      <c r="C1" s="1" t="s">
        <v>38</v>
      </c>
    </row>
    <row r="2" spans="1:3" ht="15.75" customHeight="1" x14ac:dyDescent="0.25">
      <c r="A2" t="s">
        <v>39</v>
      </c>
      <c r="B2" t="s">
        <v>39</v>
      </c>
      <c r="C2" s="11" t="s">
        <v>39</v>
      </c>
    </row>
    <row r="3" spans="1:3" ht="15.75" customHeight="1" x14ac:dyDescent="0.25">
      <c r="A3" t="s">
        <v>40</v>
      </c>
      <c r="B3" t="s">
        <v>41</v>
      </c>
      <c r="C3" s="11" t="s">
        <v>61</v>
      </c>
    </row>
    <row r="4" spans="1:3" ht="15.75" customHeight="1" x14ac:dyDescent="0.25">
      <c r="A4" t="s">
        <v>42</v>
      </c>
      <c r="B4" t="s">
        <v>43</v>
      </c>
      <c r="C4" s="11" t="s">
        <v>62</v>
      </c>
    </row>
    <row r="5" spans="1:3" ht="15.75" customHeight="1" x14ac:dyDescent="0.25">
      <c r="A5" t="s">
        <v>44</v>
      </c>
      <c r="B5" t="s">
        <v>45</v>
      </c>
      <c r="C5" s="11" t="s">
        <v>63</v>
      </c>
    </row>
    <row r="6" spans="1:3" ht="15.75" customHeight="1" x14ac:dyDescent="0.25">
      <c r="A6" t="s">
        <v>46</v>
      </c>
      <c r="B6" t="s">
        <v>47</v>
      </c>
      <c r="C6" s="11" t="s">
        <v>64</v>
      </c>
    </row>
    <row r="7" spans="1:3" ht="15.75" customHeight="1" x14ac:dyDescent="0.25">
      <c r="A7" t="s">
        <v>48</v>
      </c>
      <c r="B7" t="s">
        <v>49</v>
      </c>
      <c r="C7" s="11" t="s">
        <v>65</v>
      </c>
    </row>
    <row r="8" spans="1:3" ht="15.75" customHeight="1" x14ac:dyDescent="0.25">
      <c r="A8" t="s">
        <v>50</v>
      </c>
      <c r="B8" t="s">
        <v>51</v>
      </c>
      <c r="C8" s="11" t="s">
        <v>66</v>
      </c>
    </row>
    <row r="9" spans="1:3" ht="15.75" customHeight="1" x14ac:dyDescent="0.25">
      <c r="A9" t="s">
        <v>52</v>
      </c>
      <c r="B9" s="11" t="s">
        <v>53</v>
      </c>
      <c r="C9" s="11" t="s">
        <v>67</v>
      </c>
    </row>
    <row r="10" spans="1:3" ht="15.75" customHeight="1" x14ac:dyDescent="0.25">
      <c r="B10" s="11" t="s">
        <v>54</v>
      </c>
    </row>
    <row r="11" spans="1:3" ht="15.75" customHeight="1" x14ac:dyDescent="0.25">
      <c r="B11" s="11" t="s">
        <v>55</v>
      </c>
    </row>
    <row r="12" spans="1:3" ht="15.75" customHeight="1" x14ac:dyDescent="0.25">
      <c r="B12" s="11" t="s">
        <v>56</v>
      </c>
    </row>
    <row r="13" spans="1:3" ht="15.75" customHeight="1" x14ac:dyDescent="0.25">
      <c r="B13" s="11" t="s">
        <v>57</v>
      </c>
    </row>
    <row r="14" spans="1:3" ht="15.75" customHeight="1" x14ac:dyDescent="0.25">
      <c r="B14" s="11" t="s">
        <v>42</v>
      </c>
    </row>
    <row r="15" spans="1:3" ht="15.75" customHeight="1" x14ac:dyDescent="0.25">
      <c r="B15" s="11" t="s">
        <v>58</v>
      </c>
    </row>
    <row r="16" spans="1:3" ht="15.75" customHeight="1" x14ac:dyDescent="0.25">
      <c r="B16" s="11" t="s">
        <v>59</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f92c65-ed86-4457-baee-ccd535c9ea21">
      <Terms xmlns="http://schemas.microsoft.com/office/infopath/2007/PartnerControls"/>
    </lcf76f155ced4ddcb4097134ff3c332f>
    <TaxCatchAll xmlns="6c8d291c-a5bf-4049-930d-38db8e991d8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4" ma:contentTypeDescription="Create a new document." ma:contentTypeScope="" ma:versionID="9e618b3e3f00639f51cef12547d7d941">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bf7f0975f16758c3f956fd0d38ad8e2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A64A65-7DA4-4AE1-9847-B817073E4705}">
  <ds:schemaRefs>
    <ds:schemaRef ds:uri="http://schemas.microsoft.com/sharepoint/v3/contenttype/forms"/>
  </ds:schemaRefs>
</ds:datastoreItem>
</file>

<file path=customXml/itemProps2.xml><?xml version="1.0" encoding="utf-8"?>
<ds:datastoreItem xmlns:ds="http://schemas.openxmlformats.org/officeDocument/2006/customXml" ds:itemID="{320CF63A-30C9-4A8C-8DF9-EA62B8EC1A62}">
  <ds:schemaRefs>
    <ds:schemaRef ds:uri="http://schemas.microsoft.com/office/2006/documentManagement/types"/>
    <ds:schemaRef ds:uri="http://purl.org/dc/elements/1.1/"/>
    <ds:schemaRef ds:uri="http://schemas.microsoft.com/office/2006/metadata/properties"/>
    <ds:schemaRef ds:uri="http://www.w3.org/XML/1998/namespace"/>
    <ds:schemaRef ds:uri="http://schemas.openxmlformats.org/package/2006/metadata/core-properties"/>
    <ds:schemaRef ds:uri="http://purl.org/dc/dcmitype/"/>
    <ds:schemaRef ds:uri="6c8d291c-a5bf-4049-930d-38db8e991d8e"/>
    <ds:schemaRef ds:uri="http://schemas.microsoft.com/office/infopath/2007/PartnerControls"/>
    <ds:schemaRef ds:uri="5ff92c65-ed86-4457-baee-ccd535c9ea21"/>
    <ds:schemaRef ds:uri="http://purl.org/dc/terms/"/>
  </ds:schemaRefs>
</ds:datastoreItem>
</file>

<file path=customXml/itemProps3.xml><?xml version="1.0" encoding="utf-8"?>
<ds:datastoreItem xmlns:ds="http://schemas.openxmlformats.org/officeDocument/2006/customXml" ds:itemID="{F2001D3B-84D9-4121-96E3-CD76FECCC0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ali</dc:creator>
  <cp:keywords/>
  <dc:description/>
  <cp:lastModifiedBy>m.jaberi14979@gmail.com</cp:lastModifiedBy>
  <cp:revision/>
  <dcterms:created xsi:type="dcterms:W3CDTF">2020-05-11T09:26:10Z</dcterms:created>
  <dcterms:modified xsi:type="dcterms:W3CDTF">2025-06-19T20:50:04Z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